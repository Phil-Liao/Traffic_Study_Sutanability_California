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hilliao/Downloads/Code/IB-Math-IA/2VAR_ATSBS_T2W/"/>
    </mc:Choice>
  </mc:AlternateContent>
  <xr:revisionPtr revIDLastSave="0" documentId="13_ncr:1_{1E137A62-D389-5646-8690-A65EF90FDDCF}" xr6:coauthVersionLast="47" xr6:coauthVersionMax="47" xr10:uidLastSave="{00000000-0000-0000-0000-000000000000}"/>
  <bookViews>
    <workbookView xWindow="0" yWindow="640" windowWidth="25600" windowHeight="16000" xr2:uid="{4D1AF13A-A5F1-E34F-94D2-60D62824593C}"/>
  </bookViews>
  <sheets>
    <sheet name="Regression" sheetId="1" r:id="rId1"/>
    <sheet name="Outl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1" l="1"/>
  <c r="L20" i="1"/>
  <c r="L4" i="1"/>
</calcChain>
</file>

<file path=xl/sharedStrings.xml><?xml version="1.0" encoding="utf-8"?>
<sst xmlns="http://schemas.openxmlformats.org/spreadsheetml/2006/main" count="18" uniqueCount="7">
  <si>
    <t>district_name</t>
  </si>
  <si>
    <t>speed_acr</t>
  </si>
  <si>
    <t>Percent BICYCLE</t>
  </si>
  <si>
    <t>Missing Data</t>
  </si>
  <si>
    <t>r value</t>
  </si>
  <si>
    <t>p50_acr</t>
  </si>
  <si>
    <t>Outlier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</si>
</sst>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Bicyle</a:t>
            </a:r>
            <a:r>
              <a:rPr lang="en-US" baseline="0"/>
              <a:t> Rate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Regression!$C$2:$C$13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2">
                  <c:v>28.346050000000002</c:v>
                </c:pt>
                <c:pt idx="4">
                  <c:v>13.104430000000001</c:v>
                </c:pt>
                <c:pt idx="6">
                  <c:v>33.591459999999998</c:v>
                </c:pt>
                <c:pt idx="7">
                  <c:v>19.313939999999999</c:v>
                </c:pt>
                <c:pt idx="9">
                  <c:v>7.6024139999999996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Regression!$B$2:$B$13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2">
                  <c:v>-0.14957390000000001</c:v>
                </c:pt>
                <c:pt idx="4">
                  <c:v>-0.2662949</c:v>
                </c:pt>
                <c:pt idx="6">
                  <c:v>-0.14164119999999999</c:v>
                </c:pt>
                <c:pt idx="7">
                  <c:v>-0.13194539999999999</c:v>
                </c:pt>
                <c:pt idx="9">
                  <c:v>-0.15528020000000001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79-6747-B391-5FD430D26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Bicyle</a:t>
            </a:r>
            <a:r>
              <a:rPr lang="en-US" baseline="0"/>
              <a:t> Rate (Populated)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Regression!$C$18:$C$29</c:f>
              <c:numCache>
                <c:formatCode>General</c:formatCode>
                <c:ptCount val="12"/>
                <c:pt idx="2">
                  <c:v>28.346050000000002</c:v>
                </c:pt>
                <c:pt idx="6">
                  <c:v>33.591459999999998</c:v>
                </c:pt>
                <c:pt idx="7">
                  <c:v>19.313939999999999</c:v>
                </c:pt>
                <c:pt idx="10">
                  <c:v>0.60503200000000001</c:v>
                </c:pt>
                <c:pt idx="11">
                  <c:v>39.211069999999999</c:v>
                </c:pt>
              </c:numCache>
            </c:numRef>
          </c:xVal>
          <c:yVal>
            <c:numRef>
              <c:f>Regression!$B$18:$B$29</c:f>
              <c:numCache>
                <c:formatCode>General</c:formatCode>
                <c:ptCount val="12"/>
                <c:pt idx="2">
                  <c:v>-0.14957390000000001</c:v>
                </c:pt>
                <c:pt idx="6">
                  <c:v>-0.14164119999999999</c:v>
                </c:pt>
                <c:pt idx="7">
                  <c:v>-0.13194539999999999</c:v>
                </c:pt>
                <c:pt idx="10">
                  <c:v>-0.15887780000000001</c:v>
                </c:pt>
                <c:pt idx="11">
                  <c:v>-0.137266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3F1-7440-844D-4CBF645698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Congestion Rate to Bicyle</a:t>
            </a:r>
            <a:r>
              <a:rPr lang="en-US" baseline="0"/>
              <a:t> Rate (Unpopulated)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5169559196628025E-2"/>
                  <c:y val="0.4143772129154995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Regression!$C$34:$C$45</c:f>
              <c:numCache>
                <c:formatCode>General</c:formatCode>
                <c:ptCount val="12"/>
                <c:pt idx="0">
                  <c:v>15.58724</c:v>
                </c:pt>
                <c:pt idx="1">
                  <c:v>0.52957699999999996</c:v>
                </c:pt>
                <c:pt idx="4">
                  <c:v>13.104430000000001</c:v>
                </c:pt>
                <c:pt idx="9">
                  <c:v>7.6024139999999996</c:v>
                </c:pt>
              </c:numCache>
            </c:numRef>
          </c:xVal>
          <c:yVal>
            <c:numRef>
              <c:f>Regression!$B$34:$B$45</c:f>
              <c:numCache>
                <c:formatCode>General</c:formatCode>
                <c:ptCount val="12"/>
                <c:pt idx="0">
                  <c:v>-0.20784630000000001</c:v>
                </c:pt>
                <c:pt idx="1">
                  <c:v>-0.13281899999999999</c:v>
                </c:pt>
                <c:pt idx="4">
                  <c:v>-0.2662949</c:v>
                </c:pt>
                <c:pt idx="9">
                  <c:v>-0.15528020000000001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75-3248-9131-271D446AB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1681119"/>
        <c:axId val="1001682831"/>
      </c:scatterChart>
      <c:valAx>
        <c:axId val="10016811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Bicycle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2831"/>
        <c:crosses val="autoZero"/>
        <c:crossBetween val="midCat"/>
      </c:valAx>
      <c:valAx>
        <c:axId val="100168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Congestion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16811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9</xdr:col>
      <xdr:colOff>819150</xdr:colOff>
      <xdr:row>13</xdr:row>
      <xdr:rowOff>196850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AF017F-773D-4941-A47F-26B8E78A55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16</xdr:row>
      <xdr:rowOff>0</xdr:rowOff>
    </xdr:from>
    <xdr:to>
      <xdr:col>9</xdr:col>
      <xdr:colOff>819150</xdr:colOff>
      <xdr:row>29</xdr:row>
      <xdr:rowOff>196850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4AD58A-7B58-F64E-9D85-4F7C6FE5E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32</xdr:row>
      <xdr:rowOff>0</xdr:rowOff>
    </xdr:from>
    <xdr:to>
      <xdr:col>9</xdr:col>
      <xdr:colOff>819150</xdr:colOff>
      <xdr:row>45</xdr:row>
      <xdr:rowOff>196850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F4A5885-759E-5748-9D84-66232EE56A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C884C-E453-6B44-ADBD-205B6FE17472}">
  <dimension ref="A1:L45"/>
  <sheetViews>
    <sheetView tabSelected="1" topLeftCell="A16" workbookViewId="0">
      <selection activeCell="L10" sqref="L10"/>
    </sheetView>
  </sheetViews>
  <sheetFormatPr baseColWidth="10" defaultRowHeight="16" x14ac:dyDescent="0.2"/>
  <sheetData>
    <row r="1" spans="1:12" x14ac:dyDescent="0.2">
      <c r="A1" s="1" t="s">
        <v>0</v>
      </c>
      <c r="B1" s="1" t="s">
        <v>5</v>
      </c>
      <c r="C1" s="2" t="s">
        <v>2</v>
      </c>
    </row>
    <row r="2" spans="1:12" x14ac:dyDescent="0.2">
      <c r="A2" s="1">
        <v>1</v>
      </c>
      <c r="B2" s="1">
        <v>-0.20784630000000001</v>
      </c>
      <c r="C2" s="3">
        <v>15.58724</v>
      </c>
    </row>
    <row r="3" spans="1:12" x14ac:dyDescent="0.2">
      <c r="A3" s="1">
        <v>2</v>
      </c>
      <c r="B3" s="1">
        <v>-0.13281899999999999</v>
      </c>
      <c r="C3" s="3">
        <v>0.52957699999999996</v>
      </c>
    </row>
    <row r="4" spans="1:12" x14ac:dyDescent="0.2">
      <c r="A4" s="1">
        <v>3</v>
      </c>
      <c r="B4" s="1">
        <v>-0.14957390000000001</v>
      </c>
      <c r="C4" s="3">
        <v>28.346050000000002</v>
      </c>
      <c r="K4" t="s">
        <v>4</v>
      </c>
      <c r="L4">
        <f>CORREL(C2:C13,B2:B13)</f>
        <v>0.19896347249137733</v>
      </c>
    </row>
    <row r="5" spans="1:12" x14ac:dyDescent="0.2">
      <c r="A5" s="1">
        <v>4</v>
      </c>
      <c r="C5" s="3"/>
    </row>
    <row r="6" spans="1:12" x14ac:dyDescent="0.2">
      <c r="A6" s="1">
        <v>5</v>
      </c>
      <c r="B6" s="1">
        <v>-0.2662949</v>
      </c>
      <c r="C6" s="3">
        <v>13.104430000000001</v>
      </c>
    </row>
    <row r="7" spans="1:12" x14ac:dyDescent="0.2">
      <c r="A7" s="1">
        <v>6</v>
      </c>
      <c r="C7" s="3"/>
    </row>
    <row r="8" spans="1:12" x14ac:dyDescent="0.2">
      <c r="A8" s="1">
        <v>7</v>
      </c>
      <c r="B8" s="1">
        <v>-0.14164119999999999</v>
      </c>
      <c r="C8" s="3">
        <v>33.591459999999998</v>
      </c>
    </row>
    <row r="9" spans="1:12" x14ac:dyDescent="0.2">
      <c r="A9" s="1">
        <v>8</v>
      </c>
      <c r="B9" s="1">
        <v>-0.13194539999999999</v>
      </c>
      <c r="C9" s="3">
        <v>19.313939999999999</v>
      </c>
    </row>
    <row r="10" spans="1:12" x14ac:dyDescent="0.2">
      <c r="A10" s="1">
        <v>9</v>
      </c>
    </row>
    <row r="11" spans="1:12" x14ac:dyDescent="0.2">
      <c r="A11" s="1">
        <v>10</v>
      </c>
      <c r="B11" s="1">
        <v>-0.15528020000000001</v>
      </c>
      <c r="C11" s="3">
        <v>7.6024139999999996</v>
      </c>
    </row>
    <row r="12" spans="1:12" x14ac:dyDescent="0.2">
      <c r="A12" s="1">
        <v>11</v>
      </c>
      <c r="B12" s="1">
        <v>-0.15887780000000001</v>
      </c>
      <c r="C12" s="3">
        <v>0.60503200000000001</v>
      </c>
    </row>
    <row r="13" spans="1:12" x14ac:dyDescent="0.2">
      <c r="A13" s="1">
        <v>12</v>
      </c>
      <c r="B13" s="1">
        <v>-0.137266</v>
      </c>
      <c r="C13" s="3">
        <v>39.211069999999999</v>
      </c>
    </row>
    <row r="17" spans="1:12" x14ac:dyDescent="0.2">
      <c r="A17" s="1" t="s">
        <v>0</v>
      </c>
      <c r="B17" s="1" t="s">
        <v>1</v>
      </c>
      <c r="C17" s="2" t="s">
        <v>2</v>
      </c>
    </row>
    <row r="18" spans="1:12" x14ac:dyDescent="0.2">
      <c r="A18" s="1">
        <v>1</v>
      </c>
      <c r="B18" s="1"/>
      <c r="C18" s="3"/>
    </row>
    <row r="19" spans="1:12" x14ac:dyDescent="0.2">
      <c r="A19" s="1">
        <v>2</v>
      </c>
      <c r="B19" s="1"/>
      <c r="C19" s="3"/>
    </row>
    <row r="20" spans="1:12" x14ac:dyDescent="0.2">
      <c r="A20" s="1">
        <v>3</v>
      </c>
      <c r="B20" s="1">
        <v>-0.14957390000000001</v>
      </c>
      <c r="C20" s="3">
        <v>28.346050000000002</v>
      </c>
      <c r="K20" t="s">
        <v>4</v>
      </c>
      <c r="L20">
        <f>CORREL(C18:C29,B18:B29)</f>
        <v>0.61353072054663227</v>
      </c>
    </row>
    <row r="21" spans="1:12" x14ac:dyDescent="0.2">
      <c r="A21" s="1">
        <v>4</v>
      </c>
      <c r="C21" s="3"/>
    </row>
    <row r="22" spans="1:12" x14ac:dyDescent="0.2">
      <c r="A22" s="1">
        <v>5</v>
      </c>
      <c r="B22" s="1"/>
      <c r="C22" s="3"/>
    </row>
    <row r="23" spans="1:12" x14ac:dyDescent="0.2">
      <c r="A23" s="1">
        <v>6</v>
      </c>
      <c r="C23" s="3"/>
    </row>
    <row r="24" spans="1:12" x14ac:dyDescent="0.2">
      <c r="A24" s="1">
        <v>7</v>
      </c>
      <c r="B24" s="1">
        <v>-0.14164119999999999</v>
      </c>
      <c r="C24" s="3">
        <v>33.591459999999998</v>
      </c>
    </row>
    <row r="25" spans="1:12" x14ac:dyDescent="0.2">
      <c r="A25" s="1">
        <v>8</v>
      </c>
      <c r="B25" s="1">
        <v>-0.13194539999999999</v>
      </c>
      <c r="C25" s="3">
        <v>19.313939999999999</v>
      </c>
    </row>
    <row r="26" spans="1:12" x14ac:dyDescent="0.2">
      <c r="A26" s="1">
        <v>9</v>
      </c>
    </row>
    <row r="27" spans="1:12" x14ac:dyDescent="0.2">
      <c r="A27" s="1">
        <v>10</v>
      </c>
      <c r="B27" s="1"/>
      <c r="C27" s="3"/>
    </row>
    <row r="28" spans="1:12" x14ac:dyDescent="0.2">
      <c r="A28" s="1">
        <v>11</v>
      </c>
      <c r="B28" s="1">
        <v>-0.15887780000000001</v>
      </c>
      <c r="C28" s="3">
        <v>0.60503200000000001</v>
      </c>
    </row>
    <row r="29" spans="1:12" x14ac:dyDescent="0.2">
      <c r="A29" s="1">
        <v>12</v>
      </c>
      <c r="B29" s="1">
        <v>-0.137266</v>
      </c>
      <c r="C29" s="3">
        <v>39.211069999999999</v>
      </c>
    </row>
    <row r="33" spans="1:12" x14ac:dyDescent="0.2">
      <c r="A33" s="1" t="s">
        <v>0</v>
      </c>
      <c r="B33" s="1" t="s">
        <v>1</v>
      </c>
      <c r="C33" s="2" t="s">
        <v>2</v>
      </c>
    </row>
    <row r="34" spans="1:12" x14ac:dyDescent="0.2">
      <c r="A34" s="1">
        <v>1</v>
      </c>
      <c r="B34" s="1">
        <v>-0.20784630000000001</v>
      </c>
      <c r="C34" s="3">
        <v>15.58724</v>
      </c>
    </row>
    <row r="35" spans="1:12" x14ac:dyDescent="0.2">
      <c r="A35" s="1">
        <v>2</v>
      </c>
      <c r="B35" s="1">
        <v>-0.13281899999999999</v>
      </c>
      <c r="C35" s="3">
        <v>0.52957699999999996</v>
      </c>
    </row>
    <row r="36" spans="1:12" x14ac:dyDescent="0.2">
      <c r="A36" s="1">
        <v>3</v>
      </c>
      <c r="B36" s="1"/>
      <c r="C36" s="3"/>
      <c r="K36" t="s">
        <v>4</v>
      </c>
      <c r="L36">
        <f>CORREL(C34:C45,B34:B45)</f>
        <v>-0.80830310355382917</v>
      </c>
    </row>
    <row r="37" spans="1:12" x14ac:dyDescent="0.2">
      <c r="A37" s="1">
        <v>4</v>
      </c>
      <c r="C37" s="3"/>
    </row>
    <row r="38" spans="1:12" x14ac:dyDescent="0.2">
      <c r="A38" s="1">
        <v>5</v>
      </c>
      <c r="B38" s="1">
        <v>-0.2662949</v>
      </c>
      <c r="C38" s="3">
        <v>13.104430000000001</v>
      </c>
    </row>
    <row r="39" spans="1:12" x14ac:dyDescent="0.2">
      <c r="A39" s="1">
        <v>6</v>
      </c>
      <c r="C39" s="3"/>
    </row>
    <row r="40" spans="1:12" x14ac:dyDescent="0.2">
      <c r="A40" s="1">
        <v>7</v>
      </c>
      <c r="B40" s="1"/>
      <c r="C40" s="3"/>
    </row>
    <row r="41" spans="1:12" x14ac:dyDescent="0.2">
      <c r="A41" s="1">
        <v>8</v>
      </c>
      <c r="B41" s="1"/>
      <c r="C41" s="3"/>
    </row>
    <row r="42" spans="1:12" x14ac:dyDescent="0.2">
      <c r="A42" s="1">
        <v>9</v>
      </c>
    </row>
    <row r="43" spans="1:12" x14ac:dyDescent="0.2">
      <c r="A43" s="1">
        <v>10</v>
      </c>
      <c r="B43" s="1">
        <v>-0.15528020000000001</v>
      </c>
      <c r="C43" s="3">
        <v>7.6024139999999996</v>
      </c>
    </row>
    <row r="44" spans="1:12" x14ac:dyDescent="0.2">
      <c r="A44" s="1">
        <v>11</v>
      </c>
      <c r="B44" s="1"/>
      <c r="C44" s="3"/>
    </row>
    <row r="45" spans="1:12" x14ac:dyDescent="0.2">
      <c r="A45" s="1">
        <v>12</v>
      </c>
      <c r="B45" s="1"/>
      <c r="C45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C8D6-DB9E-F64E-B80F-E59806F35A9F}">
  <dimension ref="A1:E13"/>
  <sheetViews>
    <sheetView workbookViewId="0">
      <selection activeCell="E7" sqref="E7"/>
    </sheetView>
  </sheetViews>
  <sheetFormatPr baseColWidth="10" defaultRowHeight="16" x14ac:dyDescent="0.2"/>
  <sheetData>
    <row r="1" spans="1:5" x14ac:dyDescent="0.2">
      <c r="A1" s="1" t="s">
        <v>0</v>
      </c>
      <c r="B1" s="1" t="s">
        <v>5</v>
      </c>
      <c r="C1" s="2" t="s">
        <v>2</v>
      </c>
    </row>
    <row r="2" spans="1:5" x14ac:dyDescent="0.2">
      <c r="A2" s="1">
        <v>1</v>
      </c>
      <c r="B2" s="1">
        <v>-0.20784630000000001</v>
      </c>
      <c r="C2" s="3">
        <v>15.58724</v>
      </c>
    </row>
    <row r="3" spans="1:5" x14ac:dyDescent="0.2">
      <c r="A3" s="1">
        <v>2</v>
      </c>
      <c r="B3" s="1">
        <v>-0.13281899999999999</v>
      </c>
      <c r="C3" s="3">
        <v>0.52957699999999996</v>
      </c>
    </row>
    <row r="4" spans="1:5" x14ac:dyDescent="0.2">
      <c r="A4" s="1">
        <v>3</v>
      </c>
      <c r="B4" s="1">
        <v>-0.14957390000000001</v>
      </c>
      <c r="C4" s="3">
        <v>28.346050000000002</v>
      </c>
    </row>
    <row r="5" spans="1:5" x14ac:dyDescent="0.2">
      <c r="A5" s="1">
        <v>4</v>
      </c>
      <c r="C5" s="3"/>
      <c r="E5" t="s">
        <v>6</v>
      </c>
    </row>
    <row r="6" spans="1:5" x14ac:dyDescent="0.2">
      <c r="A6" s="1">
        <v>5</v>
      </c>
      <c r="B6" s="1">
        <v>-0.2662949</v>
      </c>
      <c r="C6" s="3">
        <v>13.104430000000001</v>
      </c>
    </row>
    <row r="7" spans="1:5" x14ac:dyDescent="0.2">
      <c r="A7" s="1">
        <v>6</v>
      </c>
      <c r="C7" s="3"/>
      <c r="E7" t="s">
        <v>6</v>
      </c>
    </row>
    <row r="8" spans="1:5" x14ac:dyDescent="0.2">
      <c r="A8" s="1">
        <v>7</v>
      </c>
      <c r="B8" s="1">
        <v>-0.14164119999999999</v>
      </c>
      <c r="C8" s="3">
        <v>33.591459999999998</v>
      </c>
    </row>
    <row r="9" spans="1:5" x14ac:dyDescent="0.2">
      <c r="A9" s="1">
        <v>8</v>
      </c>
      <c r="B9" s="1">
        <v>-0.13194539999999999</v>
      </c>
      <c r="C9" s="3">
        <v>19.313939999999999</v>
      </c>
    </row>
    <row r="10" spans="1:5" x14ac:dyDescent="0.2">
      <c r="A10" s="1">
        <v>9</v>
      </c>
      <c r="D10" s="1">
        <v>-0.22066379999999999</v>
      </c>
      <c r="E10" t="s">
        <v>3</v>
      </c>
    </row>
    <row r="11" spans="1:5" x14ac:dyDescent="0.2">
      <c r="A11" s="1">
        <v>10</v>
      </c>
      <c r="B11" s="1">
        <v>-0.15528020000000001</v>
      </c>
      <c r="C11" s="3">
        <v>7.6024139999999996</v>
      </c>
    </row>
    <row r="12" spans="1:5" x14ac:dyDescent="0.2">
      <c r="A12" s="1">
        <v>11</v>
      </c>
      <c r="B12" s="1">
        <v>-0.15887780000000001</v>
      </c>
      <c r="C12" s="3">
        <v>0.60503200000000001</v>
      </c>
    </row>
    <row r="13" spans="1:5" x14ac:dyDescent="0.2">
      <c r="A13" s="1">
        <v>12</v>
      </c>
      <c r="B13" s="1">
        <v>-0.137266</v>
      </c>
      <c r="C13" s="3">
        <v>39.211069999999999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Regression</vt:lpstr>
      <vt:lpstr>Outlier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 Liao</dc:creator>
  <cp:lastModifiedBy>Phil Liao</cp:lastModifiedBy>
  <dcterms:created xsi:type="dcterms:W3CDTF">2025-07-10T03:55:01Z</dcterms:created>
  <dcterms:modified xsi:type="dcterms:W3CDTF">2025-07-10T12:47:21Z</dcterms:modified>
</cp:coreProperties>
</file>