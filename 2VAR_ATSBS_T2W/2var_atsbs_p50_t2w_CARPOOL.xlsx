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S_T2W/"/>
    </mc:Choice>
  </mc:AlternateContent>
  <xr:revisionPtr revIDLastSave="0" documentId="13_ncr:1_{87F8AFF9-4AE9-D34D-8352-B04967456DC7}" xr6:coauthVersionLast="47" xr6:coauthVersionMax="47" xr10:uidLastSave="{00000000-0000-0000-0000-000000000000}"/>
  <bookViews>
    <workbookView xWindow="3840" yWindow="660" windowWidth="21760" windowHeight="14320" xr2:uid="{DEBAADEF-B3C5-DD40-866F-A1EB21DFCF32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0" i="1" l="1"/>
  <c r="AG41" i="1"/>
  <c r="AG42" i="1"/>
  <c r="AG43" i="1"/>
  <c r="AG40" i="1"/>
  <c r="AE41" i="1"/>
  <c r="AE42" i="1"/>
  <c r="AE43" i="1"/>
  <c r="AE40" i="1"/>
  <c r="V40" i="1"/>
  <c r="S41" i="1"/>
  <c r="S42" i="1"/>
  <c r="S43" i="1"/>
  <c r="S44" i="1"/>
  <c r="S45" i="1"/>
  <c r="S40" i="1"/>
  <c r="Q41" i="1"/>
  <c r="Q42" i="1"/>
  <c r="Q43" i="1"/>
  <c r="Q44" i="1"/>
  <c r="Q45" i="1"/>
  <c r="Q40" i="1"/>
  <c r="H40" i="1"/>
  <c r="E41" i="1"/>
  <c r="E42" i="1"/>
  <c r="E43" i="1"/>
  <c r="E44" i="1"/>
  <c r="E45" i="1"/>
  <c r="E46" i="1"/>
  <c r="E47" i="1"/>
  <c r="E48" i="1"/>
  <c r="E49" i="1"/>
  <c r="E40" i="1"/>
  <c r="C41" i="1"/>
  <c r="C42" i="1"/>
  <c r="C43" i="1"/>
  <c r="C44" i="1"/>
  <c r="C45" i="1"/>
  <c r="C46" i="1"/>
  <c r="C47" i="1"/>
  <c r="C48" i="1"/>
  <c r="C49" i="1"/>
  <c r="C40" i="1"/>
  <c r="AN4" i="1"/>
  <c r="Z4" i="1"/>
  <c r="L4" i="1"/>
</calcChain>
</file>

<file path=xl/sharedStrings.xml><?xml version="1.0" encoding="utf-8"?>
<sst xmlns="http://schemas.openxmlformats.org/spreadsheetml/2006/main" count="123" uniqueCount="33">
  <si>
    <t>district_name</t>
  </si>
  <si>
    <t>p50_acr</t>
  </si>
  <si>
    <t>Carpool Percent</t>
  </si>
  <si>
    <t>Missing Value</t>
  </si>
  <si>
    <t>Outlier</t>
  </si>
  <si>
    <t>r value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</si>
  <si>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</si>
  <si>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</si>
  <si>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</si>
  <si>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</si>
  <si>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</si>
  <si>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</si>
  <si>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</si>
  <si>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</si>
  <si>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</si>
  <si>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</si>
  <si>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</si>
  <si>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</si>
  <si>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</si>
  <si>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</si>
  <si>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</si>
  <si>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</si>
  <si>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</si>
  <si>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</si>
  <si>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</si>
  <si>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</si>
  <si>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</si>
  <si>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</si>
  <si>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</si>
  <si>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</si>
  <si>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p50_acr_rank</t>
  </si>
  <si>
    <t>Carpool Percent rank</t>
  </si>
  <si>
    <t>rho=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</si>
</sst>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ATSBS CARPOOL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17936381187269E-2"/>
                  <c:y val="0.21300498511511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25.331689999999998</c:v>
                </c:pt>
                <c:pt idx="1">
                  <c:v>10.98541</c:v>
                </c:pt>
                <c:pt idx="2">
                  <c:v>39.341079999999998</c:v>
                </c:pt>
                <c:pt idx="3">
                  <c:v>12.56434</c:v>
                </c:pt>
                <c:pt idx="4">
                  <c:v>24.90231</c:v>
                </c:pt>
                <c:pt idx="6">
                  <c:v>44.66028</c:v>
                </c:pt>
                <c:pt idx="7">
                  <c:v>33.988129999999998</c:v>
                </c:pt>
                <c:pt idx="9">
                  <c:v>20.73094</c:v>
                </c:pt>
                <c:pt idx="10">
                  <c:v>10.663930000000001</c:v>
                </c:pt>
                <c:pt idx="11">
                  <c:v>49.626179999999998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2">
                  <c:v>-0.14957390000000001</c:v>
                </c:pt>
                <c:pt idx="3">
                  <c:v>-0.13838249999999999</c:v>
                </c:pt>
                <c:pt idx="4">
                  <c:v>-0.2662949</c:v>
                </c:pt>
                <c:pt idx="6">
                  <c:v>-0.14164119999999999</c:v>
                </c:pt>
                <c:pt idx="7">
                  <c:v>-0.13194539999999999</c:v>
                </c:pt>
                <c:pt idx="9">
                  <c:v>-0.15528020000000001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E8-A247-B85E-FF7B36AF0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Carpool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ATSBS CARPOOL</a:t>
            </a:r>
            <a:r>
              <a:rPr lang="en-US" baseline="0"/>
              <a:t> </a:t>
            </a:r>
            <a:r>
              <a:rPr lang="en-US"/>
              <a:t>(Crowded)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17936381187269E-2"/>
                  <c:y val="0.21300498511511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Regression!$Q$2:$Q$13</c:f>
              <c:numCache>
                <c:formatCode>General</c:formatCode>
                <c:ptCount val="12"/>
                <c:pt idx="2">
                  <c:v>39.341079999999998</c:v>
                </c:pt>
                <c:pt idx="3">
                  <c:v>12.56434</c:v>
                </c:pt>
                <c:pt idx="6">
                  <c:v>44.66028</c:v>
                </c:pt>
                <c:pt idx="7">
                  <c:v>33.988129999999998</c:v>
                </c:pt>
                <c:pt idx="10">
                  <c:v>10.663930000000001</c:v>
                </c:pt>
                <c:pt idx="11">
                  <c:v>49.626179999999998</c:v>
                </c:pt>
              </c:numCache>
            </c:numRef>
          </c:xVal>
          <c:yVal>
            <c:numRef>
              <c:f>Regression!$P$2:$P$13</c:f>
              <c:numCache>
                <c:formatCode>General</c:formatCode>
                <c:ptCount val="12"/>
                <c:pt idx="2">
                  <c:v>-0.14957390000000001</c:v>
                </c:pt>
                <c:pt idx="3">
                  <c:v>-0.13838249999999999</c:v>
                </c:pt>
                <c:pt idx="6">
                  <c:v>-0.14164119999999999</c:v>
                </c:pt>
                <c:pt idx="7">
                  <c:v>-0.13194539999999999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F2-8545-B644-A408C11B0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Carpool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Carpool Rate (Uncrowded)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275176129299627"/>
                  <c:y val="1.8072891895224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Regression!$AE$2:$AE$13</c:f>
              <c:numCache>
                <c:formatCode>General</c:formatCode>
                <c:ptCount val="12"/>
                <c:pt idx="0">
                  <c:v>25.331689999999998</c:v>
                </c:pt>
                <c:pt idx="1">
                  <c:v>10.98541</c:v>
                </c:pt>
                <c:pt idx="4">
                  <c:v>24.90231</c:v>
                </c:pt>
                <c:pt idx="9">
                  <c:v>20.73094</c:v>
                </c:pt>
              </c:numCache>
            </c:numRef>
          </c:xVal>
          <c:yVal>
            <c:numRef>
              <c:f>Regression!$AD$2:$AD$13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4">
                  <c:v>-0.2662949</c:v>
                </c:pt>
                <c:pt idx="9">
                  <c:v>-0.15528020000000001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2-7546-845B-3287CA03C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Carpool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819150</xdr:colOff>
      <xdr:row>13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F778E-C669-7E42-B5C3-95A89D4C7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819150</xdr:colOff>
      <xdr:row>13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0F775-1D90-534B-AF56-DBFC48137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37</xdr:col>
      <xdr:colOff>819150</xdr:colOff>
      <xdr:row>13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0795D4-4FF7-8546-95D5-A441FA721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D54A-3488-8D40-912C-F99994CF36A0}">
  <dimension ref="A1:AO49"/>
  <sheetViews>
    <sheetView tabSelected="1" topLeftCell="W22" workbookViewId="0">
      <selection activeCell="AJ41" sqref="AJ41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1</v>
      </c>
      <c r="C1" t="s">
        <v>2</v>
      </c>
      <c r="O1" s="1" t="s">
        <v>0</v>
      </c>
      <c r="P1" s="1" t="s">
        <v>1</v>
      </c>
      <c r="Q1" t="s">
        <v>2</v>
      </c>
      <c r="AC1" s="1" t="s">
        <v>0</v>
      </c>
      <c r="AD1" s="1" t="s">
        <v>1</v>
      </c>
      <c r="AE1" t="s">
        <v>2</v>
      </c>
    </row>
    <row r="2" spans="1:40" x14ac:dyDescent="0.2">
      <c r="A2" s="1">
        <v>1</v>
      </c>
      <c r="B2" s="1">
        <v>-0.20784630000000001</v>
      </c>
      <c r="C2" s="2">
        <v>25.331689999999998</v>
      </c>
      <c r="O2" s="1">
        <v>1</v>
      </c>
      <c r="P2" s="1"/>
      <c r="Q2" s="2"/>
      <c r="AC2" s="1">
        <v>1</v>
      </c>
      <c r="AD2" s="1">
        <v>-0.20784630000000001</v>
      </c>
      <c r="AE2" s="2">
        <v>25.331689999999998</v>
      </c>
    </row>
    <row r="3" spans="1:40" x14ac:dyDescent="0.2">
      <c r="A3" s="1">
        <v>2</v>
      </c>
      <c r="B3" s="1">
        <v>-0.13281899999999999</v>
      </c>
      <c r="C3" s="2">
        <v>10.98541</v>
      </c>
      <c r="O3" s="1">
        <v>2</v>
      </c>
      <c r="P3" s="1"/>
      <c r="Q3" s="2"/>
      <c r="AC3" s="1">
        <v>2</v>
      </c>
      <c r="AD3" s="1">
        <v>-0.13281899999999999</v>
      </c>
      <c r="AE3" s="2">
        <v>10.98541</v>
      </c>
    </row>
    <row r="4" spans="1:40" x14ac:dyDescent="0.2">
      <c r="A4" s="1">
        <v>3</v>
      </c>
      <c r="B4" s="1">
        <v>-0.14957390000000001</v>
      </c>
      <c r="C4" s="2">
        <v>39.341079999999998</v>
      </c>
      <c r="K4" t="s">
        <v>5</v>
      </c>
      <c r="L4">
        <f>CORREL(C2:C13,B2:B13)</f>
        <v>0.1239319370097715</v>
      </c>
      <c r="O4" s="1">
        <v>3</v>
      </c>
      <c r="P4" s="1">
        <v>-0.14957390000000001</v>
      </c>
      <c r="Q4" s="2">
        <v>39.341079999999998</v>
      </c>
      <c r="Y4" t="s">
        <v>5</v>
      </c>
      <c r="Z4">
        <f>CORREL(Q2:Q13,P2:P13)</f>
        <v>0.42476378933650072</v>
      </c>
      <c r="AC4" s="1">
        <v>3</v>
      </c>
      <c r="AD4" s="1"/>
      <c r="AE4" s="2"/>
      <c r="AM4" t="s">
        <v>5</v>
      </c>
      <c r="AN4">
        <f>CORREL(AE2:AE13,AD2:AD13)</f>
        <v>-0.80554748986378288</v>
      </c>
    </row>
    <row r="5" spans="1:40" x14ac:dyDescent="0.2">
      <c r="A5" s="1">
        <v>4</v>
      </c>
      <c r="B5" s="1">
        <v>-0.13838249999999999</v>
      </c>
      <c r="C5" s="2">
        <v>12.56434</v>
      </c>
      <c r="O5" s="1">
        <v>4</v>
      </c>
      <c r="P5" s="1">
        <v>-0.13838249999999999</v>
      </c>
      <c r="Q5" s="2">
        <v>12.56434</v>
      </c>
      <c r="AC5" s="1">
        <v>4</v>
      </c>
      <c r="AD5" s="1"/>
      <c r="AE5" s="2"/>
    </row>
    <row r="6" spans="1:40" x14ac:dyDescent="0.2">
      <c r="A6" s="1">
        <v>5</v>
      </c>
      <c r="B6" s="1">
        <v>-0.2662949</v>
      </c>
      <c r="C6" s="2">
        <v>24.90231</v>
      </c>
      <c r="O6" s="1">
        <v>5</v>
      </c>
      <c r="P6" s="1"/>
      <c r="Q6" s="2"/>
      <c r="AC6" s="1">
        <v>5</v>
      </c>
      <c r="AD6" s="1">
        <v>-0.2662949</v>
      </c>
      <c r="AE6" s="2">
        <v>24.90231</v>
      </c>
    </row>
    <row r="7" spans="1:40" x14ac:dyDescent="0.2">
      <c r="A7" s="1">
        <v>6</v>
      </c>
      <c r="B7" s="1"/>
      <c r="C7" s="2"/>
      <c r="O7" s="1">
        <v>6</v>
      </c>
      <c r="P7" s="1"/>
      <c r="Q7" s="2"/>
      <c r="AC7" s="1">
        <v>6</v>
      </c>
      <c r="AD7" s="1"/>
      <c r="AE7" s="2"/>
    </row>
    <row r="8" spans="1:40" x14ac:dyDescent="0.2">
      <c r="A8" s="1">
        <v>7</v>
      </c>
      <c r="B8" s="1">
        <v>-0.14164119999999999</v>
      </c>
      <c r="C8" s="2">
        <v>44.66028</v>
      </c>
      <c r="O8" s="1">
        <v>7</v>
      </c>
      <c r="P8" s="1">
        <v>-0.14164119999999999</v>
      </c>
      <c r="Q8" s="2">
        <v>44.66028</v>
      </c>
      <c r="AC8" s="1">
        <v>7</v>
      </c>
      <c r="AD8" s="1"/>
      <c r="AE8" s="2"/>
    </row>
    <row r="9" spans="1:40" x14ac:dyDescent="0.2">
      <c r="A9" s="1">
        <v>8</v>
      </c>
      <c r="B9" s="1">
        <v>-0.13194539999999999</v>
      </c>
      <c r="C9" s="2">
        <v>33.988129999999998</v>
      </c>
      <c r="O9" s="1">
        <v>8</v>
      </c>
      <c r="P9" s="1">
        <v>-0.13194539999999999</v>
      </c>
      <c r="Q9" s="2">
        <v>33.988129999999998</v>
      </c>
      <c r="AC9" s="1">
        <v>8</v>
      </c>
      <c r="AD9" s="1"/>
      <c r="AE9" s="2"/>
    </row>
    <row r="10" spans="1:40" x14ac:dyDescent="0.2">
      <c r="A10" s="1">
        <v>9</v>
      </c>
      <c r="O10" s="1">
        <v>9</v>
      </c>
      <c r="AC10" s="1">
        <v>9</v>
      </c>
    </row>
    <row r="11" spans="1:40" x14ac:dyDescent="0.2">
      <c r="A11" s="1">
        <v>10</v>
      </c>
      <c r="B11" s="1">
        <v>-0.15528020000000001</v>
      </c>
      <c r="C11" s="2">
        <v>20.73094</v>
      </c>
      <c r="O11" s="1">
        <v>10</v>
      </c>
      <c r="P11" s="1"/>
      <c r="Q11" s="2"/>
      <c r="AC11" s="1">
        <v>10</v>
      </c>
      <c r="AD11" s="1">
        <v>-0.15528020000000001</v>
      </c>
      <c r="AE11" s="2">
        <v>20.73094</v>
      </c>
    </row>
    <row r="12" spans="1:40" x14ac:dyDescent="0.2">
      <c r="A12" s="1">
        <v>11</v>
      </c>
      <c r="B12" s="1">
        <v>-0.15887780000000001</v>
      </c>
      <c r="C12" s="2">
        <v>10.663930000000001</v>
      </c>
      <c r="O12" s="1">
        <v>11</v>
      </c>
      <c r="P12" s="1">
        <v>-0.15887780000000001</v>
      </c>
      <c r="Q12" s="2">
        <v>10.663930000000001</v>
      </c>
      <c r="AC12" s="1">
        <v>11</v>
      </c>
      <c r="AD12" s="1"/>
      <c r="AE12" s="2"/>
    </row>
    <row r="13" spans="1:40" x14ac:dyDescent="0.2">
      <c r="A13" s="1">
        <v>12</v>
      </c>
      <c r="B13" s="1">
        <v>-0.137266</v>
      </c>
      <c r="C13" s="2">
        <v>49.626179999999998</v>
      </c>
      <c r="O13" s="1">
        <v>12</v>
      </c>
      <c r="P13" s="1">
        <v>-0.137266</v>
      </c>
      <c r="Q13" s="2">
        <v>49.626179999999998</v>
      </c>
      <c r="AC13" s="1">
        <v>12</v>
      </c>
      <c r="AD13" s="1"/>
      <c r="AE13" s="2"/>
    </row>
    <row r="18" spans="1:38" x14ac:dyDescent="0.2">
      <c r="A18" s="1" t="s">
        <v>0</v>
      </c>
      <c r="B18" s="1" t="s">
        <v>1</v>
      </c>
      <c r="C18" t="s">
        <v>2</v>
      </c>
      <c r="E18" t="s">
        <v>6</v>
      </c>
      <c r="O18" s="1" t="s">
        <v>0</v>
      </c>
      <c r="P18" s="1" t="s">
        <v>1</v>
      </c>
      <c r="Q18" t="s">
        <v>2</v>
      </c>
      <c r="S18" t="s">
        <v>6</v>
      </c>
      <c r="AC18" s="1" t="s">
        <v>0</v>
      </c>
      <c r="AD18" s="1" t="s">
        <v>1</v>
      </c>
      <c r="AE18" t="s">
        <v>2</v>
      </c>
      <c r="AG18" t="s">
        <v>6</v>
      </c>
    </row>
    <row r="19" spans="1:38" ht="17" thickBot="1" x14ac:dyDescent="0.25">
      <c r="A19" s="1">
        <v>1</v>
      </c>
      <c r="B19" s="1">
        <v>-0.20784630000000001</v>
      </c>
      <c r="C19" s="2">
        <v>25.331689999999998</v>
      </c>
      <c r="O19" s="1">
        <v>3</v>
      </c>
      <c r="P19" s="1">
        <v>-0.14957390000000001</v>
      </c>
      <c r="Q19" s="2">
        <v>39.341079999999998</v>
      </c>
      <c r="AC19" s="1">
        <v>1</v>
      </c>
      <c r="AD19" s="1">
        <v>-0.20784630000000001</v>
      </c>
      <c r="AE19" s="2">
        <v>25.331689999999998</v>
      </c>
    </row>
    <row r="20" spans="1:38" x14ac:dyDescent="0.2">
      <c r="A20" s="1">
        <v>2</v>
      </c>
      <c r="B20" s="1">
        <v>-0.13281899999999999</v>
      </c>
      <c r="C20" s="2">
        <v>10.98541</v>
      </c>
      <c r="E20" s="5" t="s">
        <v>7</v>
      </c>
      <c r="F20" s="5"/>
      <c r="O20" s="1">
        <v>4</v>
      </c>
      <c r="P20" s="1">
        <v>-0.13838249999999999</v>
      </c>
      <c r="Q20" s="2">
        <v>12.56434</v>
      </c>
      <c r="S20" s="5" t="s">
        <v>7</v>
      </c>
      <c r="T20" s="5"/>
      <c r="AC20" s="1">
        <v>2</v>
      </c>
      <c r="AD20" s="1">
        <v>-0.13281899999999999</v>
      </c>
      <c r="AE20" s="2">
        <v>10.98541</v>
      </c>
      <c r="AG20" s="5" t="s">
        <v>7</v>
      </c>
      <c r="AH20" s="5"/>
    </row>
    <row r="21" spans="1:38" x14ac:dyDescent="0.2">
      <c r="A21" s="1">
        <v>3</v>
      </c>
      <c r="B21" s="1">
        <v>-0.14957390000000001</v>
      </c>
      <c r="C21" s="2">
        <v>39.341079999999998</v>
      </c>
      <c r="E21" t="s">
        <v>8</v>
      </c>
      <c r="F21">
        <v>0.12393193700977194</v>
      </c>
      <c r="O21" s="1">
        <v>7</v>
      </c>
      <c r="P21" s="1">
        <v>-0.14164119999999999</v>
      </c>
      <c r="Q21" s="2">
        <v>44.66028</v>
      </c>
      <c r="S21" t="s">
        <v>8</v>
      </c>
      <c r="T21">
        <v>0.42476378933650061</v>
      </c>
      <c r="AC21" s="1">
        <v>5</v>
      </c>
      <c r="AD21" s="1">
        <v>-0.2662949</v>
      </c>
      <c r="AE21" s="2">
        <v>24.90231</v>
      </c>
      <c r="AG21" t="s">
        <v>8</v>
      </c>
      <c r="AH21">
        <v>0.805547489863783</v>
      </c>
    </row>
    <row r="22" spans="1:38" x14ac:dyDescent="0.2">
      <c r="A22" s="1">
        <v>4</v>
      </c>
      <c r="B22" s="1">
        <v>-0.13838249999999999</v>
      </c>
      <c r="C22" s="2">
        <v>12.56434</v>
      </c>
      <c r="E22" t="s">
        <v>9</v>
      </c>
      <c r="F22">
        <v>1.535912501099408E-2</v>
      </c>
      <c r="O22" s="1">
        <v>8</v>
      </c>
      <c r="P22" s="1">
        <v>-0.13194539999999999</v>
      </c>
      <c r="Q22" s="2">
        <v>33.988129999999998</v>
      </c>
      <c r="S22" t="s">
        <v>9</v>
      </c>
      <c r="T22">
        <v>0.18042427673150307</v>
      </c>
      <c r="AC22" s="1">
        <v>10</v>
      </c>
      <c r="AD22" s="1">
        <v>-0.15528020000000001</v>
      </c>
      <c r="AE22" s="2">
        <v>20.73094</v>
      </c>
      <c r="AG22" t="s">
        <v>9</v>
      </c>
      <c r="AH22">
        <v>0.64890675842584156</v>
      </c>
    </row>
    <row r="23" spans="1:38" x14ac:dyDescent="0.2">
      <c r="A23" s="1">
        <v>5</v>
      </c>
      <c r="B23" s="1">
        <v>-0.2662949</v>
      </c>
      <c r="C23" s="2">
        <v>24.90231</v>
      </c>
      <c r="E23" t="s">
        <v>10</v>
      </c>
      <c r="F23">
        <v>-0.10772098436263167</v>
      </c>
      <c r="O23" s="1">
        <v>11</v>
      </c>
      <c r="P23" s="1">
        <v>-0.15887780000000001</v>
      </c>
      <c r="Q23" s="2">
        <v>10.663930000000001</v>
      </c>
      <c r="S23" t="s">
        <v>10</v>
      </c>
      <c r="T23">
        <v>-2.4469654085621156E-2</v>
      </c>
      <c r="AG23" t="s">
        <v>10</v>
      </c>
      <c r="AH23">
        <v>0.47336013763876233</v>
      </c>
    </row>
    <row r="24" spans="1:38" x14ac:dyDescent="0.2">
      <c r="A24" s="1">
        <v>7</v>
      </c>
      <c r="B24" s="1">
        <v>-0.14164119999999999</v>
      </c>
      <c r="C24" s="2">
        <v>44.66028</v>
      </c>
      <c r="E24" t="s">
        <v>11</v>
      </c>
      <c r="F24">
        <v>4.5102135145327911E-2</v>
      </c>
      <c r="O24" s="1">
        <v>12</v>
      </c>
      <c r="P24" s="1">
        <v>-0.137266</v>
      </c>
      <c r="Q24" s="2">
        <v>49.626179999999998</v>
      </c>
      <c r="S24" t="s">
        <v>11</v>
      </c>
      <c r="T24">
        <v>9.85030609764323E-3</v>
      </c>
      <c r="AC24" s="1"/>
      <c r="AD24" s="1"/>
      <c r="AE24" s="2"/>
      <c r="AG24" t="s">
        <v>11</v>
      </c>
      <c r="AH24">
        <v>4.3163933975975344E-2</v>
      </c>
    </row>
    <row r="25" spans="1:38" ht="17" thickBot="1" x14ac:dyDescent="0.25">
      <c r="A25" s="1">
        <v>8</v>
      </c>
      <c r="B25" s="1">
        <v>-0.13194539999999999</v>
      </c>
      <c r="C25" s="2">
        <v>33.988129999999998</v>
      </c>
      <c r="E25" s="3" t="s">
        <v>12</v>
      </c>
      <c r="F25" s="3">
        <v>10</v>
      </c>
      <c r="S25" s="3" t="s">
        <v>12</v>
      </c>
      <c r="T25" s="3">
        <v>6</v>
      </c>
      <c r="AC25" s="1"/>
      <c r="AD25" s="1"/>
      <c r="AE25" s="2"/>
      <c r="AG25" s="3" t="s">
        <v>12</v>
      </c>
      <c r="AH25" s="3">
        <v>4</v>
      </c>
    </row>
    <row r="26" spans="1:38" x14ac:dyDescent="0.2">
      <c r="A26" s="1">
        <v>10</v>
      </c>
      <c r="B26" s="1">
        <v>-0.15528020000000001</v>
      </c>
      <c r="C26" s="2">
        <v>20.73094</v>
      </c>
      <c r="AC26" s="1"/>
      <c r="AD26" s="1"/>
      <c r="AE26" s="2"/>
    </row>
    <row r="27" spans="1:38" ht="17" thickBot="1" x14ac:dyDescent="0.25">
      <c r="A27" s="1">
        <v>11</v>
      </c>
      <c r="B27" s="1">
        <v>-0.15887780000000001</v>
      </c>
      <c r="C27" s="2">
        <v>10.663930000000001</v>
      </c>
      <c r="E27" t="s">
        <v>13</v>
      </c>
      <c r="O27" s="1"/>
      <c r="S27" t="s">
        <v>13</v>
      </c>
      <c r="AC27" s="1"/>
      <c r="AG27" t="s">
        <v>13</v>
      </c>
    </row>
    <row r="28" spans="1:38" x14ac:dyDescent="0.2">
      <c r="A28" s="1">
        <v>12</v>
      </c>
      <c r="B28" s="1">
        <v>-0.137266</v>
      </c>
      <c r="C28" s="2">
        <v>49.626179999999998</v>
      </c>
      <c r="E28" s="4"/>
      <c r="F28" s="4" t="s">
        <v>18</v>
      </c>
      <c r="G28" s="4" t="s">
        <v>19</v>
      </c>
      <c r="H28" s="4" t="s">
        <v>20</v>
      </c>
      <c r="I28" s="4" t="s">
        <v>21</v>
      </c>
      <c r="J28" s="4" t="s">
        <v>22</v>
      </c>
      <c r="O28" s="1"/>
      <c r="P28" s="1"/>
      <c r="Q28" s="2"/>
      <c r="S28" s="4"/>
      <c r="T28" s="4" t="s">
        <v>18</v>
      </c>
      <c r="U28" s="4" t="s">
        <v>19</v>
      </c>
      <c r="V28" s="4" t="s">
        <v>20</v>
      </c>
      <c r="W28" s="4" t="s">
        <v>21</v>
      </c>
      <c r="X28" s="4" t="s">
        <v>22</v>
      </c>
      <c r="AG28" s="4"/>
      <c r="AH28" s="4" t="s">
        <v>18</v>
      </c>
      <c r="AI28" s="4" t="s">
        <v>19</v>
      </c>
      <c r="AJ28" s="4" t="s">
        <v>20</v>
      </c>
      <c r="AK28" s="4" t="s">
        <v>21</v>
      </c>
      <c r="AL28" s="4" t="s">
        <v>22</v>
      </c>
    </row>
    <row r="29" spans="1:38" x14ac:dyDescent="0.2">
      <c r="E29" t="s">
        <v>14</v>
      </c>
      <c r="F29">
        <v>1</v>
      </c>
      <c r="G29">
        <v>2.5384745031661882E-4</v>
      </c>
      <c r="H29">
        <v>2.5384745031661882E-4</v>
      </c>
      <c r="I29">
        <v>0.12478966007715715</v>
      </c>
      <c r="J29" s="6">
        <v>0.73302453189435646</v>
      </c>
      <c r="S29" t="s">
        <v>14</v>
      </c>
      <c r="T29">
        <v>1</v>
      </c>
      <c r="U29">
        <v>8.5440804990931222E-5</v>
      </c>
      <c r="V29">
        <v>8.5440804990931222E-5</v>
      </c>
      <c r="W29">
        <v>0.88057404146606344</v>
      </c>
      <c r="X29" s="6">
        <v>0.40117316573163447</v>
      </c>
      <c r="AC29" s="1"/>
      <c r="AD29" s="1"/>
      <c r="AE29" s="2"/>
      <c r="AG29" t="s">
        <v>14</v>
      </c>
      <c r="AH29">
        <v>1</v>
      </c>
      <c r="AI29">
        <v>6.887028222135284E-3</v>
      </c>
      <c r="AJ29">
        <v>6.887028222135284E-3</v>
      </c>
      <c r="AK29">
        <v>3.696492450361101</v>
      </c>
      <c r="AL29" s="6">
        <v>0.19445251013621712</v>
      </c>
    </row>
    <row r="30" spans="1:38" x14ac:dyDescent="0.2">
      <c r="E30" t="s">
        <v>15</v>
      </c>
      <c r="F30">
        <v>8</v>
      </c>
      <c r="G30">
        <v>1.6273620757339385E-2</v>
      </c>
      <c r="H30">
        <v>2.0342025946674231E-3</v>
      </c>
      <c r="S30" t="s">
        <v>15</v>
      </c>
      <c r="T30">
        <v>4</v>
      </c>
      <c r="U30">
        <v>3.8811412086906964E-4</v>
      </c>
      <c r="V30">
        <v>9.702853021726741E-5</v>
      </c>
      <c r="AC30" s="1"/>
      <c r="AD30" s="1"/>
      <c r="AE30" s="2"/>
      <c r="AG30" t="s">
        <v>15</v>
      </c>
      <c r="AH30">
        <v>2</v>
      </c>
      <c r="AI30">
        <v>3.7262503925647177E-3</v>
      </c>
      <c r="AJ30">
        <v>1.8631251962823588E-3</v>
      </c>
    </row>
    <row r="31" spans="1:38" ht="17" thickBot="1" x14ac:dyDescent="0.25">
      <c r="E31" s="3" t="s">
        <v>16</v>
      </c>
      <c r="F31" s="3">
        <v>9</v>
      </c>
      <c r="G31" s="3">
        <v>1.6527468207656004E-2</v>
      </c>
      <c r="H31" s="3"/>
      <c r="I31" s="3"/>
      <c r="J31" s="3"/>
      <c r="S31" s="3" t="s">
        <v>16</v>
      </c>
      <c r="T31" s="3">
        <v>5</v>
      </c>
      <c r="U31" s="3">
        <v>4.7355492586000086E-4</v>
      </c>
      <c r="V31" s="3"/>
      <c r="W31" s="3"/>
      <c r="X31" s="3"/>
      <c r="AG31" s="3" t="s">
        <v>16</v>
      </c>
      <c r="AH31" s="3">
        <v>3</v>
      </c>
      <c r="AI31" s="3">
        <v>1.0613278614700001E-2</v>
      </c>
      <c r="AJ31" s="3"/>
      <c r="AK31" s="3"/>
      <c r="AL31" s="3"/>
    </row>
    <row r="32" spans="1:38" ht="17" thickBot="1" x14ac:dyDescent="0.25"/>
    <row r="33" spans="1:41" x14ac:dyDescent="0.2">
      <c r="E33" s="4"/>
      <c r="F33" s="4" t="s">
        <v>23</v>
      </c>
      <c r="G33" s="4" t="s">
        <v>11</v>
      </c>
      <c r="H33" s="4" t="s">
        <v>24</v>
      </c>
      <c r="I33" s="4" t="s">
        <v>25</v>
      </c>
      <c r="J33" s="4" t="s">
        <v>26</v>
      </c>
      <c r="K33" s="4" t="s">
        <v>27</v>
      </c>
      <c r="L33" s="4" t="s">
        <v>28</v>
      </c>
      <c r="M33" s="4" t="s">
        <v>29</v>
      </c>
      <c r="S33" s="4"/>
      <c r="T33" s="4" t="s">
        <v>23</v>
      </c>
      <c r="U33" s="4" t="s">
        <v>11</v>
      </c>
      <c r="V33" s="4" t="s">
        <v>24</v>
      </c>
      <c r="W33" s="4" t="s">
        <v>25</v>
      </c>
      <c r="X33" s="4" t="s">
        <v>26</v>
      </c>
      <c r="Y33" s="4" t="s">
        <v>27</v>
      </c>
      <c r="Z33" s="4" t="s">
        <v>28</v>
      </c>
      <c r="AA33" s="4" t="s">
        <v>29</v>
      </c>
      <c r="AG33" s="4"/>
      <c r="AH33" s="4" t="s">
        <v>23</v>
      </c>
      <c r="AI33" s="4" t="s">
        <v>11</v>
      </c>
      <c r="AJ33" s="4" t="s">
        <v>24</v>
      </c>
      <c r="AK33" s="4" t="s">
        <v>25</v>
      </c>
      <c r="AL33" s="4" t="s">
        <v>26</v>
      </c>
      <c r="AM33" s="4" t="s">
        <v>27</v>
      </c>
      <c r="AN33" s="4" t="s">
        <v>28</v>
      </c>
      <c r="AO33" s="4" t="s">
        <v>29</v>
      </c>
    </row>
    <row r="34" spans="1:41" x14ac:dyDescent="0.2">
      <c r="E34" t="s">
        <v>17</v>
      </c>
      <c r="F34">
        <v>-0.17223029354232966</v>
      </c>
      <c r="G34">
        <v>3.2300105763478353E-2</v>
      </c>
      <c r="H34">
        <v>-5.3321897706313397</v>
      </c>
      <c r="I34" s="6">
        <v>7.0068206432478031E-4</v>
      </c>
      <c r="J34">
        <v>-0.24671447100044269</v>
      </c>
      <c r="K34">
        <v>-9.7746116084216628E-2</v>
      </c>
      <c r="L34">
        <v>-0.24671447100044269</v>
      </c>
      <c r="M34">
        <v>-9.7746116084216628E-2</v>
      </c>
      <c r="S34" t="s">
        <v>17</v>
      </c>
      <c r="T34">
        <v>-0.15091565734020723</v>
      </c>
      <c r="U34">
        <v>9.3951277884705385E-3</v>
      </c>
      <c r="V34">
        <v>-16.063183038915881</v>
      </c>
      <c r="W34" s="6">
        <v>8.7838796803558675E-5</v>
      </c>
      <c r="X34">
        <v>-0.17700071390121402</v>
      </c>
      <c r="Y34">
        <v>-0.12483060077920044</v>
      </c>
      <c r="Z34">
        <v>-0.17700071390121402</v>
      </c>
      <c r="AA34">
        <v>-0.12483060077920044</v>
      </c>
      <c r="AG34" t="s">
        <v>17</v>
      </c>
      <c r="AH34">
        <v>-4.3300915706346949E-2</v>
      </c>
      <c r="AI34">
        <v>7.9575283087451487E-2</v>
      </c>
      <c r="AJ34">
        <v>-0.54415031937442426</v>
      </c>
      <c r="AK34" s="6">
        <v>0.64089328200349349</v>
      </c>
      <c r="AL34">
        <v>-0.38568572470315643</v>
      </c>
      <c r="AM34">
        <v>0.29908389329046253</v>
      </c>
      <c r="AN34">
        <v>-0.38568572470315643</v>
      </c>
      <c r="AO34">
        <v>0.29908389329046253</v>
      </c>
    </row>
    <row r="35" spans="1:41" ht="17" thickBot="1" x14ac:dyDescent="0.25">
      <c r="E35" s="3" t="s">
        <v>2</v>
      </c>
      <c r="F35" s="3">
        <v>3.7528547765166447E-4</v>
      </c>
      <c r="G35" s="3">
        <v>1.0623618292663977E-3</v>
      </c>
      <c r="H35" s="3">
        <v>0.35325579977851213</v>
      </c>
      <c r="I35" s="7">
        <v>0.73302453189435735</v>
      </c>
      <c r="J35" s="3">
        <v>-2.074525293719712E-3</v>
      </c>
      <c r="K35" s="3">
        <v>2.8250962490230409E-3</v>
      </c>
      <c r="L35" s="3">
        <v>-2.074525293719712E-3</v>
      </c>
      <c r="M35" s="3">
        <v>2.8250962490230409E-3</v>
      </c>
      <c r="S35" s="3" t="s">
        <v>2</v>
      </c>
      <c r="T35" s="3">
        <v>2.505038621673989E-4</v>
      </c>
      <c r="U35" s="3">
        <v>2.6695095980947805E-4</v>
      </c>
      <c r="V35" s="3">
        <v>0.93838906721362836</v>
      </c>
      <c r="W35" s="7">
        <v>0.40117316573163447</v>
      </c>
      <c r="X35" s="3">
        <v>-4.9067082352347935E-4</v>
      </c>
      <c r="Y35" s="3">
        <v>9.9167854785827715E-4</v>
      </c>
      <c r="Z35" s="3">
        <v>-4.9067082352347935E-4</v>
      </c>
      <c r="AA35" s="3">
        <v>9.9167854785827715E-4</v>
      </c>
      <c r="AG35" s="3" t="s">
        <v>2</v>
      </c>
      <c r="AH35" s="3">
        <v>-7.1877269245904651E-3</v>
      </c>
      <c r="AI35" s="3">
        <v>3.7384937360183082E-3</v>
      </c>
      <c r="AJ35" s="3">
        <v>-1.9226264458706226</v>
      </c>
      <c r="AK35" s="7">
        <v>0.19445251013621689</v>
      </c>
      <c r="AL35" s="3">
        <v>-2.327316720302091E-2</v>
      </c>
      <c r="AM35" s="3">
        <v>8.8977133538399797E-3</v>
      </c>
      <c r="AN35" s="3">
        <v>-2.327316720302091E-2</v>
      </c>
      <c r="AO35" s="3">
        <v>8.8977133538399797E-3</v>
      </c>
    </row>
    <row r="39" spans="1:41" x14ac:dyDescent="0.2">
      <c r="A39" s="1" t="s">
        <v>0</v>
      </c>
      <c r="B39" s="1" t="s">
        <v>1</v>
      </c>
      <c r="C39" s="1" t="s">
        <v>30</v>
      </c>
      <c r="D39" t="s">
        <v>2</v>
      </c>
      <c r="E39" t="s">
        <v>31</v>
      </c>
      <c r="O39" s="1" t="s">
        <v>0</v>
      </c>
      <c r="P39" s="1" t="s">
        <v>1</v>
      </c>
      <c r="Q39" s="1" t="s">
        <v>30</v>
      </c>
      <c r="R39" t="s">
        <v>2</v>
      </c>
      <c r="S39" t="s">
        <v>31</v>
      </c>
      <c r="AC39" s="1" t="s">
        <v>0</v>
      </c>
      <c r="AD39" s="1" t="s">
        <v>1</v>
      </c>
      <c r="AE39" s="1" t="s">
        <v>30</v>
      </c>
      <c r="AF39" t="s">
        <v>2</v>
      </c>
      <c r="AG39" t="s">
        <v>31</v>
      </c>
    </row>
    <row r="40" spans="1:41" x14ac:dyDescent="0.2">
      <c r="A40" s="1">
        <v>1</v>
      </c>
      <c r="B40" s="1">
        <v>-0.20784630000000001</v>
      </c>
      <c r="C40">
        <f>_xlfn.RANK.AVG(B40,B$40:B$49,1)</f>
        <v>2</v>
      </c>
      <c r="D40" s="2">
        <v>25.331689999999998</v>
      </c>
      <c r="E40">
        <f>_xlfn.RANK.AVG(D40,D$40:D$49,1)</f>
        <v>6</v>
      </c>
      <c r="G40" t="s">
        <v>32</v>
      </c>
      <c r="H40">
        <f>CORREL(C40:C49,E40:E49)</f>
        <v>0.19999999999999998</v>
      </c>
      <c r="O40" s="1">
        <v>3</v>
      </c>
      <c r="P40" s="1">
        <v>-0.14957390000000001</v>
      </c>
      <c r="Q40">
        <f>_xlfn.RANK.AVG(P40,P$40:P$45,1)</f>
        <v>2</v>
      </c>
      <c r="R40" s="2">
        <v>39.341079999999998</v>
      </c>
      <c r="S40">
        <f>_xlfn.RANK.AVG(R40,R$40:R$45,1)</f>
        <v>4</v>
      </c>
      <c r="U40" t="s">
        <v>32</v>
      </c>
      <c r="V40">
        <f>CORREL(Q40:Q45,S40:S45)</f>
        <v>0.37142857142857144</v>
      </c>
      <c r="AC40" s="1">
        <v>1</v>
      </c>
      <c r="AD40" s="1">
        <v>-0.20784630000000001</v>
      </c>
      <c r="AE40">
        <f>_xlfn.RANK.AVG(AD40,AD$40:AD$43,1)</f>
        <v>2</v>
      </c>
      <c r="AF40" s="2">
        <v>25.331689999999998</v>
      </c>
      <c r="AG40">
        <f>_xlfn.RANK.AVG(AF40,AF$40:AF$43,1)</f>
        <v>4</v>
      </c>
      <c r="AI40" t="s">
        <v>32</v>
      </c>
      <c r="AJ40">
        <f>CORREL(AE40:AE43,AG40:AG43)</f>
        <v>-0.79999999999999982</v>
      </c>
    </row>
    <row r="41" spans="1:41" x14ac:dyDescent="0.2">
      <c r="A41" s="1">
        <v>2</v>
      </c>
      <c r="B41" s="1">
        <v>-0.13281899999999999</v>
      </c>
      <c r="C41">
        <f t="shared" ref="C41:C49" si="0">_xlfn.RANK.AVG(B41,B$40:B$49,1)</f>
        <v>9</v>
      </c>
      <c r="D41" s="2">
        <v>10.98541</v>
      </c>
      <c r="E41">
        <f t="shared" ref="E41:E49" si="1">_xlfn.RANK.AVG(D41,D$40:D$49,1)</f>
        <v>2</v>
      </c>
      <c r="O41" s="1">
        <v>4</v>
      </c>
      <c r="P41" s="1">
        <v>-0.13838249999999999</v>
      </c>
      <c r="Q41">
        <f t="shared" ref="Q41:Q45" si="2">_xlfn.RANK.AVG(P41,P$40:P$45,1)</f>
        <v>4</v>
      </c>
      <c r="R41" s="2">
        <v>12.56434</v>
      </c>
      <c r="S41">
        <f t="shared" ref="S41:S45" si="3">_xlfn.RANK.AVG(R41,R$40:R$45,1)</f>
        <v>2</v>
      </c>
      <c r="AC41" s="1">
        <v>2</v>
      </c>
      <c r="AD41" s="1">
        <v>-0.13281899999999999</v>
      </c>
      <c r="AE41">
        <f t="shared" ref="AE41:AE43" si="4">_xlfn.RANK.AVG(AD41,AD$40:AD$43,1)</f>
        <v>4</v>
      </c>
      <c r="AF41" s="2">
        <v>10.98541</v>
      </c>
      <c r="AG41">
        <f t="shared" ref="AG41:AG43" si="5">_xlfn.RANK.AVG(AF41,AF$40:AF$43,1)</f>
        <v>1</v>
      </c>
    </row>
    <row r="42" spans="1:41" x14ac:dyDescent="0.2">
      <c r="A42" s="1">
        <v>3</v>
      </c>
      <c r="B42" s="1">
        <v>-0.14957390000000001</v>
      </c>
      <c r="C42">
        <f t="shared" si="0"/>
        <v>5</v>
      </c>
      <c r="D42" s="2">
        <v>39.341079999999998</v>
      </c>
      <c r="E42">
        <f t="shared" si="1"/>
        <v>8</v>
      </c>
      <c r="O42" s="1">
        <v>7</v>
      </c>
      <c r="P42" s="1">
        <v>-0.14164119999999999</v>
      </c>
      <c r="Q42">
        <f t="shared" si="2"/>
        <v>3</v>
      </c>
      <c r="R42" s="2">
        <v>44.66028</v>
      </c>
      <c r="S42">
        <f t="shared" si="3"/>
        <v>5</v>
      </c>
      <c r="AC42" s="1">
        <v>5</v>
      </c>
      <c r="AD42" s="1">
        <v>-0.2662949</v>
      </c>
      <c r="AE42">
        <f t="shared" si="4"/>
        <v>1</v>
      </c>
      <c r="AF42" s="2">
        <v>24.90231</v>
      </c>
      <c r="AG42">
        <f t="shared" si="5"/>
        <v>3</v>
      </c>
    </row>
    <row r="43" spans="1:41" x14ac:dyDescent="0.2">
      <c r="A43" s="1">
        <v>4</v>
      </c>
      <c r="B43" s="1">
        <v>-0.13838249999999999</v>
      </c>
      <c r="C43">
        <f t="shared" si="0"/>
        <v>7</v>
      </c>
      <c r="D43" s="2">
        <v>12.56434</v>
      </c>
      <c r="E43">
        <f t="shared" si="1"/>
        <v>3</v>
      </c>
      <c r="O43" s="1">
        <v>8</v>
      </c>
      <c r="P43" s="1">
        <v>-0.13194539999999999</v>
      </c>
      <c r="Q43">
        <f t="shared" si="2"/>
        <v>6</v>
      </c>
      <c r="R43" s="2">
        <v>33.988129999999998</v>
      </c>
      <c r="S43">
        <f t="shared" si="3"/>
        <v>3</v>
      </c>
      <c r="AC43" s="1">
        <v>10</v>
      </c>
      <c r="AD43" s="1">
        <v>-0.15528020000000001</v>
      </c>
      <c r="AE43">
        <f t="shared" si="4"/>
        <v>3</v>
      </c>
      <c r="AF43" s="2">
        <v>20.73094</v>
      </c>
      <c r="AG43">
        <f t="shared" si="5"/>
        <v>2</v>
      </c>
    </row>
    <row r="44" spans="1:41" x14ac:dyDescent="0.2">
      <c r="A44" s="1">
        <v>5</v>
      </c>
      <c r="B44" s="1">
        <v>-0.2662949</v>
      </c>
      <c r="C44">
        <f t="shared" si="0"/>
        <v>1</v>
      </c>
      <c r="D44" s="2">
        <v>24.90231</v>
      </c>
      <c r="E44">
        <f t="shared" si="1"/>
        <v>5</v>
      </c>
      <c r="O44" s="1">
        <v>11</v>
      </c>
      <c r="P44" s="1">
        <v>-0.15887780000000001</v>
      </c>
      <c r="Q44">
        <f t="shared" si="2"/>
        <v>1</v>
      </c>
      <c r="R44" s="2">
        <v>10.663930000000001</v>
      </c>
      <c r="S44">
        <f t="shared" si="3"/>
        <v>1</v>
      </c>
    </row>
    <row r="45" spans="1:41" x14ac:dyDescent="0.2">
      <c r="A45" s="1">
        <v>7</v>
      </c>
      <c r="B45" s="1">
        <v>-0.14164119999999999</v>
      </c>
      <c r="C45">
        <f t="shared" si="0"/>
        <v>6</v>
      </c>
      <c r="D45" s="2">
        <v>44.66028</v>
      </c>
      <c r="E45">
        <f t="shared" si="1"/>
        <v>9</v>
      </c>
      <c r="O45" s="1">
        <v>12</v>
      </c>
      <c r="P45" s="1">
        <v>-0.137266</v>
      </c>
      <c r="Q45">
        <f t="shared" si="2"/>
        <v>5</v>
      </c>
      <c r="R45" s="2">
        <v>49.626179999999998</v>
      </c>
      <c r="S45">
        <f t="shared" si="3"/>
        <v>6</v>
      </c>
    </row>
    <row r="46" spans="1:41" x14ac:dyDescent="0.2">
      <c r="A46" s="1">
        <v>8</v>
      </c>
      <c r="B46" s="1">
        <v>-0.13194539999999999</v>
      </c>
      <c r="C46">
        <f t="shared" si="0"/>
        <v>10</v>
      </c>
      <c r="D46" s="2">
        <v>33.988129999999998</v>
      </c>
      <c r="E46">
        <f t="shared" si="1"/>
        <v>7</v>
      </c>
    </row>
    <row r="47" spans="1:41" x14ac:dyDescent="0.2">
      <c r="A47" s="1">
        <v>10</v>
      </c>
      <c r="B47" s="1">
        <v>-0.15528020000000001</v>
      </c>
      <c r="C47">
        <f t="shared" si="0"/>
        <v>4</v>
      </c>
      <c r="D47" s="2">
        <v>20.73094</v>
      </c>
      <c r="E47">
        <f t="shared" si="1"/>
        <v>4</v>
      </c>
    </row>
    <row r="48" spans="1:41" x14ac:dyDescent="0.2">
      <c r="A48" s="1">
        <v>11</v>
      </c>
      <c r="B48" s="1">
        <v>-0.15887780000000001</v>
      </c>
      <c r="C48">
        <f t="shared" si="0"/>
        <v>3</v>
      </c>
      <c r="D48" s="2">
        <v>10.663930000000001</v>
      </c>
      <c r="E48">
        <f t="shared" si="1"/>
        <v>1</v>
      </c>
    </row>
    <row r="49" spans="1:5" x14ac:dyDescent="0.2">
      <c r="A49" s="1">
        <v>12</v>
      </c>
      <c r="B49" s="1">
        <v>-0.137266</v>
      </c>
      <c r="C49">
        <f t="shared" si="0"/>
        <v>8</v>
      </c>
      <c r="D49" s="2">
        <v>49.626179999999998</v>
      </c>
      <c r="E49">
        <f t="shared" si="1"/>
        <v>10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BC19-4029-194C-BD8B-308C1C4C6DA3}">
  <dimension ref="A1:F13"/>
  <sheetViews>
    <sheetView workbookViewId="0">
      <selection activeCell="C13" sqref="A1:C1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t="s">
        <v>2</v>
      </c>
    </row>
    <row r="2" spans="1:6" x14ac:dyDescent="0.2">
      <c r="A2" s="1">
        <v>1</v>
      </c>
      <c r="B2" s="1">
        <v>-0.20784630000000001</v>
      </c>
      <c r="C2" s="2">
        <v>25.331689999999998</v>
      </c>
    </row>
    <row r="3" spans="1:6" x14ac:dyDescent="0.2">
      <c r="A3" s="1">
        <v>2</v>
      </c>
      <c r="B3" s="1">
        <v>-0.13281899999999999</v>
      </c>
      <c r="C3" s="2">
        <v>10.98541</v>
      </c>
    </row>
    <row r="4" spans="1:6" x14ac:dyDescent="0.2">
      <c r="A4" s="1">
        <v>3</v>
      </c>
      <c r="B4" s="1">
        <v>-0.14957390000000001</v>
      </c>
      <c r="C4" s="2">
        <v>39.341079999999998</v>
      </c>
    </row>
    <row r="5" spans="1:6" x14ac:dyDescent="0.2">
      <c r="A5" s="1">
        <v>4</v>
      </c>
      <c r="B5" s="1">
        <v>-0.13838249999999999</v>
      </c>
      <c r="C5" s="2">
        <v>12.56434</v>
      </c>
    </row>
    <row r="6" spans="1:6" x14ac:dyDescent="0.2">
      <c r="A6" s="1">
        <v>5</v>
      </c>
      <c r="B6" s="1">
        <v>-0.2662949</v>
      </c>
      <c r="C6" s="2">
        <v>24.90231</v>
      </c>
    </row>
    <row r="7" spans="1:6" x14ac:dyDescent="0.2">
      <c r="A7" s="1">
        <v>6</v>
      </c>
      <c r="B7" s="1">
        <v>-0.41198400000000002</v>
      </c>
      <c r="C7" s="2">
        <v>23.705850000000002</v>
      </c>
      <c r="E7" t="s">
        <v>4</v>
      </c>
      <c r="F7" t="s">
        <v>1</v>
      </c>
    </row>
    <row r="8" spans="1:6" x14ac:dyDescent="0.2">
      <c r="A8" s="1">
        <v>7</v>
      </c>
      <c r="B8" s="1">
        <v>-0.14164119999999999</v>
      </c>
      <c r="C8" s="2">
        <v>44.66028</v>
      </c>
    </row>
    <row r="9" spans="1:6" x14ac:dyDescent="0.2">
      <c r="A9" s="1">
        <v>8</v>
      </c>
      <c r="B9" s="1">
        <v>-0.13194539999999999</v>
      </c>
      <c r="C9" s="2">
        <v>33.988129999999998</v>
      </c>
    </row>
    <row r="10" spans="1:6" x14ac:dyDescent="0.2">
      <c r="A10" s="1">
        <v>9</v>
      </c>
      <c r="D10" s="1">
        <v>-0.3671644</v>
      </c>
      <c r="E10" t="s">
        <v>3</v>
      </c>
    </row>
    <row r="11" spans="1:6" x14ac:dyDescent="0.2">
      <c r="A11" s="1">
        <v>10</v>
      </c>
      <c r="B11" s="1">
        <v>-0.15528020000000001</v>
      </c>
      <c r="C11" s="2">
        <v>20.73094</v>
      </c>
    </row>
    <row r="12" spans="1:6" x14ac:dyDescent="0.2">
      <c r="A12" s="1">
        <v>11</v>
      </c>
      <c r="B12" s="1">
        <v>-0.15887780000000001</v>
      </c>
      <c r="C12" s="2">
        <v>10.663930000000001</v>
      </c>
    </row>
    <row r="13" spans="1:6" x14ac:dyDescent="0.2">
      <c r="A13" s="1">
        <v>12</v>
      </c>
      <c r="B13" s="1">
        <v>-0.137266</v>
      </c>
      <c r="C13" s="2">
        <v>49.626179999999998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2025-07-10T03:21:15Z</dcterms:created>
  <dcterms:modified xsi:type="dcterms:W3CDTF">2025-10-08T07:44:08Z</dcterms:modified>
</cp:coreProperties>
</file>