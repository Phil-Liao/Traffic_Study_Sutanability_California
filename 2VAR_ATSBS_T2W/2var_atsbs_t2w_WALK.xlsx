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2VAR_ATSBS_T2W/"/>
    </mc:Choice>
  </mc:AlternateContent>
  <xr:revisionPtr revIDLastSave="0" documentId="13_ncr:1_{F8626BA3-51C8-E94F-A6DB-CB134DCD169E}" xr6:coauthVersionLast="47" xr6:coauthVersionMax="47" xr10:uidLastSave="{00000000-0000-0000-0000-000000000000}"/>
  <bookViews>
    <workbookView xWindow="0" yWindow="640" windowWidth="25600" windowHeight="16000" xr2:uid="{4D1AF13A-A5F1-E34F-94D2-60D62824593C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1" l="1"/>
  <c r="Z4" i="1"/>
  <c r="L4" i="1"/>
</calcChain>
</file>

<file path=xl/sharedStrings.xml><?xml version="1.0" encoding="utf-8"?>
<sst xmlns="http://schemas.openxmlformats.org/spreadsheetml/2006/main" count="105" uniqueCount="33">
  <si>
    <t>district_name</t>
  </si>
  <si>
    <t>speed_acr</t>
  </si>
  <si>
    <t>Percent BICYCLE</t>
  </si>
  <si>
    <t>Missing Data</t>
  </si>
  <si>
    <t>r value</t>
  </si>
  <si>
    <t>p50_acr</t>
  </si>
  <si>
    <t>Outlier</t>
  </si>
  <si>
    <t>Walk percent</t>
  </si>
  <si>
    <t>p50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</si>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</sst>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  <xf numFmtId="9" fontId="0" fillId="0" borderId="0" xfId="1" applyFont="1" applyFill="1" applyBorder="1" applyAlignment="1"/>
    <xf numFmtId="9" fontId="0" fillId="0" borderId="1" xfId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Rate to Walk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5169559196628025E-2"/>
                  <c:y val="0.41437721291549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Regression!$C$2:$C$13</c:f>
              <c:numCache>
                <c:formatCode>General</c:formatCode>
                <c:ptCount val="12"/>
                <c:pt idx="0">
                  <c:v>4.1795689999999999</c:v>
                </c:pt>
                <c:pt idx="1">
                  <c:v>2.7827199999999999</c:v>
                </c:pt>
                <c:pt idx="2">
                  <c:v>3.6753770000000001</c:v>
                </c:pt>
                <c:pt idx="3">
                  <c:v>3.6038389999999998</c:v>
                </c:pt>
                <c:pt idx="4">
                  <c:v>4.2643740000000001</c:v>
                </c:pt>
                <c:pt idx="6">
                  <c:v>2.7476090000000002</c:v>
                </c:pt>
                <c:pt idx="7">
                  <c:v>2.3836249999999999</c:v>
                </c:pt>
                <c:pt idx="9">
                  <c:v>2.2407919999999999</c:v>
                </c:pt>
                <c:pt idx="10">
                  <c:v>2.8338070000000002</c:v>
                </c:pt>
                <c:pt idx="11">
                  <c:v>2.4946600000000001</c:v>
                </c:pt>
              </c:numCache>
            </c:numRef>
          </c:xVal>
          <c:yVal>
            <c:numRef>
              <c:f>Regression!$B$2:$B$13</c:f>
              <c:numCache>
                <c:formatCode>General</c:formatCode>
                <c:ptCount val="12"/>
                <c:pt idx="0">
                  <c:v>-0.20784630000000001</c:v>
                </c:pt>
                <c:pt idx="1">
                  <c:v>-0.13281899999999999</c:v>
                </c:pt>
                <c:pt idx="2">
                  <c:v>-0.14957390000000001</c:v>
                </c:pt>
                <c:pt idx="3">
                  <c:v>-0.13838249999999999</c:v>
                </c:pt>
                <c:pt idx="4">
                  <c:v>-0.2662949</c:v>
                </c:pt>
                <c:pt idx="6">
                  <c:v>-0.14164119999999999</c:v>
                </c:pt>
                <c:pt idx="7">
                  <c:v>-0.13194539999999999</c:v>
                </c:pt>
                <c:pt idx="9">
                  <c:v>-0.15528020000000001</c:v>
                </c:pt>
                <c:pt idx="10">
                  <c:v>-0.15887780000000001</c:v>
                </c:pt>
                <c:pt idx="11">
                  <c:v>-0.137266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79-6747-B391-5FD430D26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Bicycle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Rate to Walk</a:t>
            </a:r>
            <a:r>
              <a:rPr lang="en-US" baseline="0"/>
              <a:t> Rate (Populated)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5169559196628025E-2"/>
                  <c:y val="0.41437721291549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Regression!$Q$2:$Q$13</c:f>
              <c:numCache>
                <c:formatCode>General</c:formatCode>
                <c:ptCount val="12"/>
                <c:pt idx="2">
                  <c:v>3.6753770000000001</c:v>
                </c:pt>
                <c:pt idx="3">
                  <c:v>3.6038389999999998</c:v>
                </c:pt>
                <c:pt idx="6">
                  <c:v>2.7476090000000002</c:v>
                </c:pt>
                <c:pt idx="7">
                  <c:v>2.3836249999999999</c:v>
                </c:pt>
                <c:pt idx="10">
                  <c:v>2.8338070000000002</c:v>
                </c:pt>
                <c:pt idx="11">
                  <c:v>2.4946600000000001</c:v>
                </c:pt>
              </c:numCache>
            </c:numRef>
          </c:xVal>
          <c:yVal>
            <c:numRef>
              <c:f>Regression!$P$2:$P$13</c:f>
              <c:numCache>
                <c:formatCode>General</c:formatCode>
                <c:ptCount val="12"/>
                <c:pt idx="2">
                  <c:v>-0.14957390000000001</c:v>
                </c:pt>
                <c:pt idx="3">
                  <c:v>-0.13838249999999999</c:v>
                </c:pt>
                <c:pt idx="6">
                  <c:v>-0.14164119999999999</c:v>
                </c:pt>
                <c:pt idx="7">
                  <c:v>-0.13194539999999999</c:v>
                </c:pt>
                <c:pt idx="10">
                  <c:v>-0.15887780000000001</c:v>
                </c:pt>
                <c:pt idx="11">
                  <c:v>-0.137266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F1-7440-844D-4CBF64569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Bicycle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Rate to Walk</a:t>
            </a:r>
            <a:r>
              <a:rPr lang="en-US" baseline="0"/>
              <a:t> Rate (Unpopulated)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5169559196628025E-2"/>
                  <c:y val="0.41437721291549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Regression!$AE$2:$AE$13</c:f>
              <c:numCache>
                <c:formatCode>General</c:formatCode>
                <c:ptCount val="12"/>
                <c:pt idx="0">
                  <c:v>4.1795689999999999</c:v>
                </c:pt>
                <c:pt idx="1">
                  <c:v>2.7827199999999999</c:v>
                </c:pt>
                <c:pt idx="4">
                  <c:v>4.2643740000000001</c:v>
                </c:pt>
                <c:pt idx="9">
                  <c:v>2.2407919999999999</c:v>
                </c:pt>
              </c:numCache>
            </c:numRef>
          </c:xVal>
          <c:yVal>
            <c:numRef>
              <c:f>Regression!$AD$2:$AD$13</c:f>
              <c:numCache>
                <c:formatCode>General</c:formatCode>
                <c:ptCount val="12"/>
                <c:pt idx="0">
                  <c:v>-0.20784630000000001</c:v>
                </c:pt>
                <c:pt idx="1">
                  <c:v>-0.13281899999999999</c:v>
                </c:pt>
                <c:pt idx="4">
                  <c:v>-0.2662949</c:v>
                </c:pt>
                <c:pt idx="9">
                  <c:v>-0.15528020000000001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75-3248-9131-271D446AB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Bicycle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819150</xdr:colOff>
      <xdr:row>13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F017F-773D-4941-A47F-26B8E78A5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0</xdr:row>
      <xdr:rowOff>0</xdr:rowOff>
    </xdr:from>
    <xdr:to>
      <xdr:col>23</xdr:col>
      <xdr:colOff>819150</xdr:colOff>
      <xdr:row>13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4AD58A-7B58-F64E-9D85-4F7C6FE5E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0</xdr:row>
      <xdr:rowOff>0</xdr:rowOff>
    </xdr:from>
    <xdr:to>
      <xdr:col>37</xdr:col>
      <xdr:colOff>819150</xdr:colOff>
      <xdr:row>13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4A5885-759E-5748-9D84-66232EE56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884C-E453-6B44-ADBD-205B6FE17472}">
  <dimension ref="A1:AO35"/>
  <sheetViews>
    <sheetView tabSelected="1" topLeftCell="L1" workbookViewId="0">
      <selection activeCell="AN27" sqref="AN27"/>
    </sheetView>
  </sheetViews>
  <sheetFormatPr baseColWidth="10" defaultRowHeight="16" x14ac:dyDescent="0.2"/>
  <sheetData>
    <row r="1" spans="1:40" x14ac:dyDescent="0.2">
      <c r="A1" s="1" t="s">
        <v>0</v>
      </c>
      <c r="B1" s="1" t="s">
        <v>5</v>
      </c>
      <c r="C1" s="2" t="s">
        <v>2</v>
      </c>
      <c r="O1" s="1" t="s">
        <v>0</v>
      </c>
      <c r="P1" s="1" t="s">
        <v>5</v>
      </c>
      <c r="Q1" s="2" t="s">
        <v>7</v>
      </c>
      <c r="AC1" s="1" t="s">
        <v>0</v>
      </c>
      <c r="AD1" s="1" t="s">
        <v>1</v>
      </c>
      <c r="AE1" s="2" t="s">
        <v>2</v>
      </c>
    </row>
    <row r="2" spans="1:40" x14ac:dyDescent="0.2">
      <c r="A2" s="1">
        <v>1</v>
      </c>
      <c r="B2" s="1">
        <v>-0.20784630000000001</v>
      </c>
      <c r="C2" s="3">
        <v>4.1795689999999999</v>
      </c>
      <c r="O2" s="1">
        <v>1</v>
      </c>
      <c r="P2" s="1"/>
      <c r="Q2" s="3"/>
      <c r="AC2" s="1">
        <v>1</v>
      </c>
      <c r="AD2" s="1">
        <v>-0.20784630000000001</v>
      </c>
      <c r="AE2" s="3">
        <v>4.1795689999999999</v>
      </c>
    </row>
    <row r="3" spans="1:40" x14ac:dyDescent="0.2">
      <c r="A3" s="1">
        <v>2</v>
      </c>
      <c r="B3" s="1">
        <v>-0.13281899999999999</v>
      </c>
      <c r="C3" s="3">
        <v>2.7827199999999999</v>
      </c>
      <c r="O3" s="1">
        <v>2</v>
      </c>
      <c r="P3" s="1"/>
      <c r="Q3" s="3"/>
      <c r="AC3" s="1">
        <v>2</v>
      </c>
      <c r="AD3" s="1">
        <v>-0.13281899999999999</v>
      </c>
      <c r="AE3" s="3">
        <v>2.7827199999999999</v>
      </c>
    </row>
    <row r="4" spans="1:40" x14ac:dyDescent="0.2">
      <c r="A4" s="1">
        <v>3</v>
      </c>
      <c r="B4" s="1">
        <v>-0.14957390000000001</v>
      </c>
      <c r="C4" s="3">
        <v>3.6753770000000001</v>
      </c>
      <c r="K4" t="s">
        <v>4</v>
      </c>
      <c r="L4">
        <f>CORREL(C2:C13,B2:B13)</f>
        <v>-0.73434213593254771</v>
      </c>
      <c r="O4" s="1">
        <v>3</v>
      </c>
      <c r="P4" s="1">
        <v>-0.14957390000000001</v>
      </c>
      <c r="Q4" s="3">
        <v>3.6753770000000001</v>
      </c>
      <c r="Y4" t="s">
        <v>4</v>
      </c>
      <c r="Z4">
        <f>CORREL(Q2:Q13,P2:P13)</f>
        <v>-0.33569035403836395</v>
      </c>
      <c r="AC4" s="1">
        <v>3</v>
      </c>
      <c r="AD4" s="1"/>
      <c r="AE4" s="3"/>
      <c r="AM4" t="s">
        <v>4</v>
      </c>
      <c r="AN4">
        <f>CORREL(AE2:AE13,AD2:AD13)</f>
        <v>-0.86060234107630529</v>
      </c>
    </row>
    <row r="5" spans="1:40" x14ac:dyDescent="0.2">
      <c r="A5" s="1">
        <v>4</v>
      </c>
      <c r="B5" s="1">
        <v>-0.13838249999999999</v>
      </c>
      <c r="C5" s="3">
        <v>3.6038389999999998</v>
      </c>
      <c r="O5" s="1">
        <v>4</v>
      </c>
      <c r="P5" s="1">
        <v>-0.13838249999999999</v>
      </c>
      <c r="Q5" s="3">
        <v>3.6038389999999998</v>
      </c>
      <c r="AC5" s="1">
        <v>4</v>
      </c>
      <c r="AE5" s="3"/>
    </row>
    <row r="6" spans="1:40" x14ac:dyDescent="0.2">
      <c r="A6" s="1">
        <v>5</v>
      </c>
      <c r="B6" s="1">
        <v>-0.2662949</v>
      </c>
      <c r="C6" s="3">
        <v>4.2643740000000001</v>
      </c>
      <c r="O6" s="1">
        <v>5</v>
      </c>
      <c r="P6" s="1"/>
      <c r="Q6" s="3"/>
      <c r="AC6" s="1">
        <v>5</v>
      </c>
      <c r="AD6" s="1">
        <v>-0.2662949</v>
      </c>
      <c r="AE6" s="3">
        <v>4.2643740000000001</v>
      </c>
    </row>
    <row r="7" spans="1:40" x14ac:dyDescent="0.2">
      <c r="A7" s="1">
        <v>6</v>
      </c>
      <c r="B7" s="1"/>
      <c r="C7" s="3"/>
      <c r="O7" s="1">
        <v>6</v>
      </c>
      <c r="P7" s="1"/>
      <c r="Q7" s="3"/>
      <c r="AC7" s="1">
        <v>6</v>
      </c>
      <c r="AE7" s="3"/>
    </row>
    <row r="8" spans="1:40" x14ac:dyDescent="0.2">
      <c r="A8" s="1">
        <v>7</v>
      </c>
      <c r="B8" s="1">
        <v>-0.14164119999999999</v>
      </c>
      <c r="C8" s="3">
        <v>2.7476090000000002</v>
      </c>
      <c r="O8" s="1">
        <v>7</v>
      </c>
      <c r="P8" s="1">
        <v>-0.14164119999999999</v>
      </c>
      <c r="Q8" s="3">
        <v>2.7476090000000002</v>
      </c>
      <c r="AC8" s="1">
        <v>7</v>
      </c>
      <c r="AD8" s="1"/>
      <c r="AE8" s="3"/>
    </row>
    <row r="9" spans="1:40" x14ac:dyDescent="0.2">
      <c r="A9" s="1">
        <v>8</v>
      </c>
      <c r="B9" s="1">
        <v>-0.13194539999999999</v>
      </c>
      <c r="C9" s="3">
        <v>2.3836249999999999</v>
      </c>
      <c r="O9" s="1">
        <v>8</v>
      </c>
      <c r="P9" s="1">
        <v>-0.13194539999999999</v>
      </c>
      <c r="Q9" s="3">
        <v>2.3836249999999999</v>
      </c>
      <c r="AC9" s="1">
        <v>8</v>
      </c>
      <c r="AD9" s="1"/>
      <c r="AE9" s="3"/>
    </row>
    <row r="10" spans="1:40" x14ac:dyDescent="0.2">
      <c r="A10" s="1">
        <v>9</v>
      </c>
      <c r="B10" s="1"/>
      <c r="O10" s="1">
        <v>9</v>
      </c>
      <c r="P10" s="1"/>
      <c r="AC10" s="1">
        <v>9</v>
      </c>
    </row>
    <row r="11" spans="1:40" x14ac:dyDescent="0.2">
      <c r="A11" s="1">
        <v>10</v>
      </c>
      <c r="B11" s="1">
        <v>-0.15528020000000001</v>
      </c>
      <c r="C11" s="3">
        <v>2.2407919999999999</v>
      </c>
      <c r="O11" s="1">
        <v>10</v>
      </c>
      <c r="P11" s="1"/>
      <c r="Q11" s="3"/>
      <c r="AC11" s="1">
        <v>10</v>
      </c>
      <c r="AD11" s="1">
        <v>-0.15528020000000001</v>
      </c>
      <c r="AE11" s="3">
        <v>2.2407919999999999</v>
      </c>
    </row>
    <row r="12" spans="1:40" x14ac:dyDescent="0.2">
      <c r="A12" s="1">
        <v>11</v>
      </c>
      <c r="B12" s="1">
        <v>-0.15887780000000001</v>
      </c>
      <c r="C12" s="3">
        <v>2.8338070000000002</v>
      </c>
      <c r="O12" s="1">
        <v>11</v>
      </c>
      <c r="P12" s="1">
        <v>-0.15887780000000001</v>
      </c>
      <c r="Q12" s="3">
        <v>2.8338070000000002</v>
      </c>
      <c r="AC12" s="1">
        <v>11</v>
      </c>
      <c r="AD12" s="1"/>
      <c r="AE12" s="3"/>
    </row>
    <row r="13" spans="1:40" x14ac:dyDescent="0.2">
      <c r="A13" s="1">
        <v>12</v>
      </c>
      <c r="B13" s="1">
        <v>-0.137266</v>
      </c>
      <c r="C13" s="3">
        <v>2.4946600000000001</v>
      </c>
      <c r="O13" s="1">
        <v>12</v>
      </c>
      <c r="P13" s="1">
        <v>-0.137266</v>
      </c>
      <c r="Q13" s="3">
        <v>2.4946600000000001</v>
      </c>
      <c r="AC13" s="1">
        <v>12</v>
      </c>
      <c r="AD13" s="1"/>
      <c r="AE13" s="3"/>
    </row>
    <row r="18" spans="1:38" x14ac:dyDescent="0.2">
      <c r="A18" s="1" t="s">
        <v>0</v>
      </c>
      <c r="B18" s="1" t="s">
        <v>5</v>
      </c>
      <c r="C18" s="2" t="s">
        <v>2</v>
      </c>
      <c r="E18" t="s">
        <v>9</v>
      </c>
      <c r="O18" s="1" t="s">
        <v>0</v>
      </c>
      <c r="P18" s="1" t="s">
        <v>5</v>
      </c>
      <c r="Q18" s="2" t="s">
        <v>7</v>
      </c>
      <c r="S18" t="s">
        <v>9</v>
      </c>
      <c r="AC18" s="1" t="s">
        <v>0</v>
      </c>
      <c r="AD18" s="1" t="s">
        <v>1</v>
      </c>
      <c r="AE18" s="2" t="s">
        <v>2</v>
      </c>
      <c r="AG18" t="s">
        <v>9</v>
      </c>
    </row>
    <row r="19" spans="1:38" ht="17" thickBot="1" x14ac:dyDescent="0.25">
      <c r="A19" s="1">
        <v>1</v>
      </c>
      <c r="B19" s="1">
        <v>-0.20784630000000001</v>
      </c>
      <c r="C19" s="3">
        <v>4.1795689999999999</v>
      </c>
      <c r="O19" s="1">
        <v>3</v>
      </c>
      <c r="P19" s="1">
        <v>-0.14957390000000001</v>
      </c>
      <c r="Q19" s="3">
        <v>3.6753770000000001</v>
      </c>
      <c r="AC19" s="1">
        <v>1</v>
      </c>
      <c r="AD19" s="1">
        <v>-0.20784630000000001</v>
      </c>
      <c r="AE19" s="3">
        <v>4.1795689999999999</v>
      </c>
    </row>
    <row r="20" spans="1:38" x14ac:dyDescent="0.2">
      <c r="A20" s="1">
        <v>2</v>
      </c>
      <c r="B20" s="1">
        <v>-0.13281899999999999</v>
      </c>
      <c r="C20" s="3">
        <v>2.7827199999999999</v>
      </c>
      <c r="E20" s="7" t="s">
        <v>10</v>
      </c>
      <c r="F20" s="7"/>
      <c r="O20" s="1">
        <v>4</v>
      </c>
      <c r="P20" s="1">
        <v>-0.13838249999999999</v>
      </c>
      <c r="Q20" s="3">
        <v>3.6038389999999998</v>
      </c>
      <c r="S20" s="7" t="s">
        <v>10</v>
      </c>
      <c r="T20" s="7"/>
      <c r="AC20" s="1">
        <v>2</v>
      </c>
      <c r="AD20" s="1">
        <v>-0.13281899999999999</v>
      </c>
      <c r="AE20" s="3">
        <v>2.7827199999999999</v>
      </c>
      <c r="AG20" s="7" t="s">
        <v>10</v>
      </c>
      <c r="AH20" s="7"/>
    </row>
    <row r="21" spans="1:38" x14ac:dyDescent="0.2">
      <c r="A21" s="1">
        <v>3</v>
      </c>
      <c r="B21" s="1">
        <v>-0.14957390000000001</v>
      </c>
      <c r="C21" s="3">
        <v>3.6753770000000001</v>
      </c>
      <c r="E21" s="4" t="s">
        <v>11</v>
      </c>
      <c r="F21" s="4">
        <v>0.73434213593254782</v>
      </c>
      <c r="O21" s="1">
        <v>7</v>
      </c>
      <c r="P21" s="1">
        <v>-0.14164119999999999</v>
      </c>
      <c r="Q21" s="3">
        <v>2.7476090000000002</v>
      </c>
      <c r="S21" s="4" t="s">
        <v>11</v>
      </c>
      <c r="T21" s="4">
        <v>0.33569035403836361</v>
      </c>
      <c r="AC21" s="1">
        <v>5</v>
      </c>
      <c r="AD21" s="1">
        <v>-0.2662949</v>
      </c>
      <c r="AE21" s="3">
        <v>4.2643740000000001</v>
      </c>
      <c r="AG21" s="4" t="s">
        <v>11</v>
      </c>
      <c r="AH21" s="4">
        <v>0.86060234107630551</v>
      </c>
    </row>
    <row r="22" spans="1:38" x14ac:dyDescent="0.2">
      <c r="A22" s="1">
        <v>4</v>
      </c>
      <c r="B22" s="1">
        <v>-0.13838249999999999</v>
      </c>
      <c r="C22" s="3">
        <v>3.6038389999999998</v>
      </c>
      <c r="E22" s="4" t="s">
        <v>12</v>
      </c>
      <c r="F22" s="4">
        <v>0.53925837260597653</v>
      </c>
      <c r="O22" s="1">
        <v>8</v>
      </c>
      <c r="P22" s="1">
        <v>-0.13194539999999999</v>
      </c>
      <c r="Q22" s="3">
        <v>2.3836249999999999</v>
      </c>
      <c r="S22" s="4" t="s">
        <v>12</v>
      </c>
      <c r="T22" s="4">
        <v>0.1126880137944019</v>
      </c>
      <c r="AC22" s="1">
        <v>10</v>
      </c>
      <c r="AD22" s="1">
        <v>-0.15528020000000001</v>
      </c>
      <c r="AE22" s="3">
        <v>2.2407919999999999</v>
      </c>
      <c r="AG22" s="4" t="s">
        <v>12</v>
      </c>
      <c r="AH22" s="4">
        <v>0.74063638946601773</v>
      </c>
    </row>
    <row r="23" spans="1:38" x14ac:dyDescent="0.2">
      <c r="A23" s="1">
        <v>5</v>
      </c>
      <c r="B23" s="1">
        <v>-0.2662949</v>
      </c>
      <c r="C23" s="3">
        <v>4.2643740000000001</v>
      </c>
      <c r="E23" s="4" t="s">
        <v>13</v>
      </c>
      <c r="F23" s="4">
        <v>0.4816656691817236</v>
      </c>
      <c r="O23" s="1">
        <v>11</v>
      </c>
      <c r="P23" s="1">
        <v>-0.15887780000000001</v>
      </c>
      <c r="Q23" s="3">
        <v>2.8338070000000002</v>
      </c>
      <c r="S23" s="4" t="s">
        <v>13</v>
      </c>
      <c r="T23" s="4">
        <v>-0.10913998275699763</v>
      </c>
      <c r="AG23" s="4" t="s">
        <v>13</v>
      </c>
      <c r="AH23" s="4">
        <v>0.6109545841990266</v>
      </c>
    </row>
    <row r="24" spans="1:38" x14ac:dyDescent="0.2">
      <c r="A24" s="1">
        <v>7</v>
      </c>
      <c r="B24" s="1">
        <v>-0.14164119999999999</v>
      </c>
      <c r="C24" s="3">
        <v>2.7476090000000002</v>
      </c>
      <c r="E24" s="4" t="s">
        <v>14</v>
      </c>
      <c r="F24" s="4">
        <v>3.0852253966887112E-2</v>
      </c>
      <c r="O24" s="1">
        <v>12</v>
      </c>
      <c r="P24" s="1">
        <v>-0.137266</v>
      </c>
      <c r="Q24" s="3">
        <v>2.4946600000000001</v>
      </c>
      <c r="S24" s="4" t="s">
        <v>14</v>
      </c>
      <c r="T24" s="4">
        <v>1.0249279997178852E-2</v>
      </c>
      <c r="AC24" s="1"/>
      <c r="AE24" s="3"/>
      <c r="AG24" s="4" t="s">
        <v>14</v>
      </c>
      <c r="AH24" s="4">
        <v>3.7099179648017115E-2</v>
      </c>
    </row>
    <row r="25" spans="1:38" ht="17" thickBot="1" x14ac:dyDescent="0.25">
      <c r="A25" s="1">
        <v>8</v>
      </c>
      <c r="B25" s="1">
        <v>-0.13194539999999999</v>
      </c>
      <c r="C25" s="3">
        <v>2.3836249999999999</v>
      </c>
      <c r="E25" s="5" t="s">
        <v>15</v>
      </c>
      <c r="F25" s="5">
        <v>10</v>
      </c>
      <c r="S25" s="5" t="s">
        <v>15</v>
      </c>
      <c r="T25" s="5">
        <v>6</v>
      </c>
      <c r="AC25" s="1"/>
      <c r="AD25" s="1"/>
      <c r="AE25" s="3"/>
      <c r="AG25" s="5" t="s">
        <v>15</v>
      </c>
      <c r="AH25" s="5">
        <v>4</v>
      </c>
    </row>
    <row r="26" spans="1:38" x14ac:dyDescent="0.2">
      <c r="A26" s="1">
        <v>10</v>
      </c>
      <c r="B26" s="1">
        <v>-0.15528020000000001</v>
      </c>
      <c r="C26" s="3">
        <v>2.2407919999999999</v>
      </c>
      <c r="AC26" s="1"/>
      <c r="AD26" s="1"/>
      <c r="AE26" s="3"/>
    </row>
    <row r="27" spans="1:38" ht="17" thickBot="1" x14ac:dyDescent="0.25">
      <c r="A27" s="1">
        <v>11</v>
      </c>
      <c r="B27" s="1">
        <v>-0.15887780000000001</v>
      </c>
      <c r="C27" s="3">
        <v>2.8338070000000002</v>
      </c>
      <c r="E27" t="s">
        <v>16</v>
      </c>
      <c r="O27" s="1"/>
      <c r="P27" s="1"/>
      <c r="S27" t="s">
        <v>16</v>
      </c>
      <c r="AC27" s="1"/>
      <c r="AG27" t="s">
        <v>16</v>
      </c>
    </row>
    <row r="28" spans="1:38" x14ac:dyDescent="0.2">
      <c r="A28" s="1">
        <v>12</v>
      </c>
      <c r="B28" s="1">
        <v>-0.137266</v>
      </c>
      <c r="C28" s="3">
        <v>2.4946600000000001</v>
      </c>
      <c r="E28" s="6"/>
      <c r="F28" s="6" t="s">
        <v>21</v>
      </c>
      <c r="G28" s="6" t="s">
        <v>22</v>
      </c>
      <c r="H28" s="6" t="s">
        <v>23</v>
      </c>
      <c r="I28" s="6" t="s">
        <v>24</v>
      </c>
      <c r="J28" s="6" t="s">
        <v>25</v>
      </c>
      <c r="O28" s="1"/>
      <c r="P28" s="1"/>
      <c r="Q28" s="3"/>
      <c r="S28" s="6"/>
      <c r="T28" s="6" t="s">
        <v>21</v>
      </c>
      <c r="U28" s="6" t="s">
        <v>22</v>
      </c>
      <c r="V28" s="6" t="s">
        <v>23</v>
      </c>
      <c r="W28" s="6" t="s">
        <v>24</v>
      </c>
      <c r="X28" s="6" t="s">
        <v>25</v>
      </c>
      <c r="AG28" s="6"/>
      <c r="AH28" s="6" t="s">
        <v>21</v>
      </c>
      <c r="AI28" s="6" t="s">
        <v>22</v>
      </c>
      <c r="AJ28" s="6" t="s">
        <v>23</v>
      </c>
      <c r="AK28" s="6" t="s">
        <v>24</v>
      </c>
      <c r="AL28" s="6" t="s">
        <v>25</v>
      </c>
    </row>
    <row r="29" spans="1:38" x14ac:dyDescent="0.2">
      <c r="E29" s="4" t="s">
        <v>17</v>
      </c>
      <c r="F29" s="4">
        <v>1</v>
      </c>
      <c r="G29" s="4">
        <v>8.9125756089575917E-3</v>
      </c>
      <c r="H29" s="4">
        <v>8.9125756089575917E-3</v>
      </c>
      <c r="I29" s="4">
        <v>9.3633106373487003</v>
      </c>
      <c r="J29" s="8">
        <v>1.5583716034714271E-2</v>
      </c>
      <c r="S29" s="4" t="s">
        <v>17</v>
      </c>
      <c r="T29" s="4">
        <v>1</v>
      </c>
      <c r="U29" s="4">
        <v>5.3363964017718744E-5</v>
      </c>
      <c r="V29" s="4">
        <v>5.3363964017718744E-5</v>
      </c>
      <c r="W29" s="4">
        <v>0.50799725709234844</v>
      </c>
      <c r="X29" s="8">
        <v>0.51537860856571538</v>
      </c>
      <c r="AC29" s="1"/>
      <c r="AD29" s="1"/>
      <c r="AE29" s="3"/>
      <c r="AG29" s="4" t="s">
        <v>17</v>
      </c>
      <c r="AH29" s="4">
        <v>1</v>
      </c>
      <c r="AI29" s="4">
        <v>7.8605803535883069E-3</v>
      </c>
      <c r="AJ29" s="4">
        <v>7.8605803535883069E-3</v>
      </c>
      <c r="AK29" s="4">
        <v>5.7111819807040973</v>
      </c>
      <c r="AL29" s="8">
        <v>0.13939765892369449</v>
      </c>
    </row>
    <row r="30" spans="1:38" x14ac:dyDescent="0.2">
      <c r="E30" s="4" t="s">
        <v>18</v>
      </c>
      <c r="F30" s="4">
        <v>8</v>
      </c>
      <c r="G30" s="4">
        <v>7.6148925986984127E-3</v>
      </c>
      <c r="H30" s="4">
        <v>9.5186157483730159E-4</v>
      </c>
      <c r="I30" s="4"/>
      <c r="J30" s="4"/>
      <c r="S30" s="4" t="s">
        <v>18</v>
      </c>
      <c r="T30" s="4">
        <v>4</v>
      </c>
      <c r="U30" s="4">
        <v>4.2019096184228212E-4</v>
      </c>
      <c r="V30" s="4">
        <v>1.0504774046057053E-4</v>
      </c>
      <c r="W30" s="4"/>
      <c r="X30" s="4"/>
      <c r="AC30" s="1"/>
      <c r="AD30" s="1"/>
      <c r="AE30" s="3"/>
      <c r="AG30" s="4" t="s">
        <v>18</v>
      </c>
      <c r="AH30" s="4">
        <v>2</v>
      </c>
      <c r="AI30" s="4">
        <v>2.7526982611116948E-3</v>
      </c>
      <c r="AJ30" s="4">
        <v>1.3763491305558474E-3</v>
      </c>
      <c r="AK30" s="4"/>
      <c r="AL30" s="4"/>
    </row>
    <row r="31" spans="1:38" ht="17" thickBot="1" x14ac:dyDescent="0.25">
      <c r="E31" s="5" t="s">
        <v>19</v>
      </c>
      <c r="F31" s="5">
        <v>9</v>
      </c>
      <c r="G31" s="5">
        <v>1.6527468207656004E-2</v>
      </c>
      <c r="H31" s="5"/>
      <c r="I31" s="5"/>
      <c r="J31" s="5"/>
      <c r="S31" s="5" t="s">
        <v>19</v>
      </c>
      <c r="T31" s="5">
        <v>5</v>
      </c>
      <c r="U31" s="5">
        <v>4.7355492586000086E-4</v>
      </c>
      <c r="V31" s="5"/>
      <c r="W31" s="5"/>
      <c r="X31" s="5"/>
      <c r="AG31" s="5" t="s">
        <v>19</v>
      </c>
      <c r="AH31" s="5">
        <v>3</v>
      </c>
      <c r="AI31" s="5">
        <v>1.0613278614700001E-2</v>
      </c>
      <c r="AJ31" s="5"/>
      <c r="AK31" s="5"/>
      <c r="AL31" s="5"/>
    </row>
    <row r="32" spans="1:38" ht="17" thickBot="1" x14ac:dyDescent="0.25"/>
    <row r="33" spans="5:41" x14ac:dyDescent="0.2">
      <c r="E33" s="6"/>
      <c r="F33" s="6" t="s">
        <v>26</v>
      </c>
      <c r="G33" s="6" t="s">
        <v>14</v>
      </c>
      <c r="H33" s="6" t="s">
        <v>27</v>
      </c>
      <c r="I33" s="6" t="s">
        <v>28</v>
      </c>
      <c r="J33" s="6" t="s">
        <v>29</v>
      </c>
      <c r="K33" s="6" t="s">
        <v>30</v>
      </c>
      <c r="L33" s="6" t="s">
        <v>31</v>
      </c>
      <c r="M33" s="6" t="s">
        <v>32</v>
      </c>
      <c r="S33" s="6"/>
      <c r="T33" s="6" t="s">
        <v>26</v>
      </c>
      <c r="U33" s="6" t="s">
        <v>14</v>
      </c>
      <c r="V33" s="6" t="s">
        <v>27</v>
      </c>
      <c r="W33" s="6" t="s">
        <v>28</v>
      </c>
      <c r="X33" s="6" t="s">
        <v>29</v>
      </c>
      <c r="Y33" s="6" t="s">
        <v>30</v>
      </c>
      <c r="Z33" s="6" t="s">
        <v>31</v>
      </c>
      <c r="AA33" s="6" t="s">
        <v>32</v>
      </c>
      <c r="AG33" s="6"/>
      <c r="AH33" s="6" t="s">
        <v>26</v>
      </c>
      <c r="AI33" s="6" t="s">
        <v>14</v>
      </c>
      <c r="AJ33" s="6" t="s">
        <v>27</v>
      </c>
      <c r="AK33" s="6" t="s">
        <v>28</v>
      </c>
      <c r="AL33" s="6" t="s">
        <v>29</v>
      </c>
      <c r="AM33" s="6" t="s">
        <v>30</v>
      </c>
      <c r="AN33" s="6" t="s">
        <v>31</v>
      </c>
      <c r="AO33" s="6" t="s">
        <v>32</v>
      </c>
    </row>
    <row r="34" spans="5:41" x14ac:dyDescent="0.2">
      <c r="E34" s="4" t="s">
        <v>20</v>
      </c>
      <c r="F34" s="4">
        <v>-3.0443156998151755E-2</v>
      </c>
      <c r="G34" s="4">
        <v>4.408387406257349E-2</v>
      </c>
      <c r="H34" s="4">
        <v>-0.69057354067703214</v>
      </c>
      <c r="I34" s="8">
        <v>0.50936973350512371</v>
      </c>
      <c r="J34" s="4">
        <v>-0.13210075288226594</v>
      </c>
      <c r="K34" s="4">
        <v>7.1214438885962447E-2</v>
      </c>
      <c r="L34" s="4">
        <v>-0.13210075288226594</v>
      </c>
      <c r="M34" s="4">
        <v>7.1214438885962447E-2</v>
      </c>
      <c r="S34" s="4" t="s">
        <v>20</v>
      </c>
      <c r="T34" s="4">
        <v>-0.12552155259229297</v>
      </c>
      <c r="U34" s="4">
        <v>2.4805137438354094E-2</v>
      </c>
      <c r="V34" s="4">
        <v>-5.060304660848586</v>
      </c>
      <c r="W34" s="8">
        <v>7.1790045014670702E-3</v>
      </c>
      <c r="X34" s="4">
        <v>-0.19439165501676972</v>
      </c>
      <c r="Y34" s="4">
        <v>-5.6651450167816218E-2</v>
      </c>
      <c r="Z34" s="4">
        <v>-0.19439165501676972</v>
      </c>
      <c r="AA34" s="4">
        <v>-5.6651450167816218E-2</v>
      </c>
      <c r="AG34" s="4" t="s">
        <v>20</v>
      </c>
      <c r="AH34" s="4">
        <v>-2.0340016374338604E-2</v>
      </c>
      <c r="AI34" s="4">
        <v>7.3603303913028287E-2</v>
      </c>
      <c r="AJ34" s="4">
        <v>-0.27634651290073792</v>
      </c>
      <c r="AK34" s="8">
        <v>0.80822062962858732</v>
      </c>
      <c r="AL34" s="4">
        <v>-0.33702947287430912</v>
      </c>
      <c r="AM34" s="4">
        <v>0.29634944012563191</v>
      </c>
      <c r="AN34" s="4">
        <v>-0.33702947287430912</v>
      </c>
      <c r="AO34" s="4">
        <v>0.29634944012563191</v>
      </c>
    </row>
    <row r="35" spans="5:41" ht="17" thickBot="1" x14ac:dyDescent="0.25">
      <c r="E35" s="5" t="s">
        <v>2</v>
      </c>
      <c r="F35" s="5">
        <v>-4.2154712185654974E-2</v>
      </c>
      <c r="G35" s="5">
        <v>1.3776262598940422E-2</v>
      </c>
      <c r="H35" s="5">
        <v>-3.059952718155738</v>
      </c>
      <c r="I35" s="9">
        <v>1.5583716034714319E-2</v>
      </c>
      <c r="J35" s="5">
        <v>-7.39228307064701E-2</v>
      </c>
      <c r="K35" s="5">
        <v>-1.0386593664839853E-2</v>
      </c>
      <c r="L35" s="5">
        <v>-7.39228307064701E-2</v>
      </c>
      <c r="M35" s="5">
        <v>-1.0386593664839853E-2</v>
      </c>
      <c r="S35" s="5" t="s">
        <v>7</v>
      </c>
      <c r="T35" s="5">
        <v>-5.8942428360334665E-3</v>
      </c>
      <c r="U35" s="5">
        <v>8.269844446080532E-3</v>
      </c>
      <c r="V35" s="5">
        <v>-0.7127392630495033</v>
      </c>
      <c r="W35" s="9">
        <v>0.51537860856571616</v>
      </c>
      <c r="X35" s="5">
        <v>-2.8855011969100917E-2</v>
      </c>
      <c r="Y35" s="5">
        <v>1.7066526297033983E-2</v>
      </c>
      <c r="Z35" s="5">
        <v>-2.8855011969100917E-2</v>
      </c>
      <c r="AA35" s="5">
        <v>1.7066526297033983E-2</v>
      </c>
      <c r="AG35" s="5" t="s">
        <v>2</v>
      </c>
      <c r="AH35" s="5">
        <v>-5.0557461265149616E-2</v>
      </c>
      <c r="AI35" s="5">
        <v>2.1155449549088132E-2</v>
      </c>
      <c r="AJ35" s="5">
        <v>-2.3898079380368831</v>
      </c>
      <c r="AK35" s="9">
        <v>0.13939765892369449</v>
      </c>
      <c r="AL35" s="5">
        <v>-0.14158201401661072</v>
      </c>
      <c r="AM35" s="5">
        <v>4.0467091486311495E-2</v>
      </c>
      <c r="AN35" s="5">
        <v>-0.14158201401661072</v>
      </c>
      <c r="AO35" s="5">
        <v>4.0467091486311495E-2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C8D6-DB9E-F64E-B80F-E59806F35A9F}">
  <dimension ref="A1:F13"/>
  <sheetViews>
    <sheetView workbookViewId="0">
      <selection activeCell="C13" sqref="A1:C13"/>
    </sheetView>
  </sheetViews>
  <sheetFormatPr baseColWidth="10" defaultRowHeight="16" x14ac:dyDescent="0.2"/>
  <cols>
    <col min="3" max="3" width="14.83203125" customWidth="1"/>
  </cols>
  <sheetData>
    <row r="1" spans="1:6" x14ac:dyDescent="0.2">
      <c r="A1" s="1" t="s">
        <v>0</v>
      </c>
      <c r="B1" s="1" t="s">
        <v>5</v>
      </c>
      <c r="C1" s="2" t="s">
        <v>7</v>
      </c>
    </row>
    <row r="2" spans="1:6" x14ac:dyDescent="0.2">
      <c r="A2" s="1">
        <v>1</v>
      </c>
      <c r="B2" s="1">
        <v>-0.20784630000000001</v>
      </c>
      <c r="C2" s="3">
        <v>4.1795689999999999</v>
      </c>
    </row>
    <row r="3" spans="1:6" x14ac:dyDescent="0.2">
      <c r="A3" s="1">
        <v>2</v>
      </c>
      <c r="B3" s="1">
        <v>-0.13281899999999999</v>
      </c>
      <c r="C3" s="3">
        <v>2.7827199999999999</v>
      </c>
    </row>
    <row r="4" spans="1:6" x14ac:dyDescent="0.2">
      <c r="A4" s="1">
        <v>3</v>
      </c>
      <c r="B4" s="1">
        <v>-0.14957390000000001</v>
      </c>
      <c r="C4" s="3">
        <v>3.6753770000000001</v>
      </c>
    </row>
    <row r="5" spans="1:6" x14ac:dyDescent="0.2">
      <c r="A5" s="1">
        <v>4</v>
      </c>
      <c r="B5" s="1">
        <v>-0.13838249999999999</v>
      </c>
      <c r="C5" s="3">
        <v>3.6038389999999998</v>
      </c>
    </row>
    <row r="6" spans="1:6" x14ac:dyDescent="0.2">
      <c r="A6" s="1">
        <v>5</v>
      </c>
      <c r="B6" s="1">
        <v>-0.2662949</v>
      </c>
      <c r="C6" s="3">
        <v>4.2643740000000001</v>
      </c>
    </row>
    <row r="7" spans="1:6" x14ac:dyDescent="0.2">
      <c r="A7" s="1">
        <v>6</v>
      </c>
      <c r="B7" s="1"/>
      <c r="C7" s="3"/>
      <c r="E7" t="s">
        <v>6</v>
      </c>
      <c r="F7" t="s">
        <v>8</v>
      </c>
    </row>
    <row r="8" spans="1:6" x14ac:dyDescent="0.2">
      <c r="A8" s="1">
        <v>7</v>
      </c>
      <c r="B8" s="1">
        <v>-0.14164119999999999</v>
      </c>
      <c r="C8" s="3">
        <v>2.7476090000000002</v>
      </c>
    </row>
    <row r="9" spans="1:6" x14ac:dyDescent="0.2">
      <c r="A9" s="1">
        <v>8</v>
      </c>
      <c r="B9" s="1">
        <v>-0.13194539999999999</v>
      </c>
      <c r="C9" s="3">
        <v>2.3836249999999999</v>
      </c>
    </row>
    <row r="10" spans="1:6" x14ac:dyDescent="0.2">
      <c r="A10" s="1">
        <v>9</v>
      </c>
      <c r="B10" s="1"/>
      <c r="D10" s="1"/>
      <c r="E10" t="s">
        <v>3</v>
      </c>
    </row>
    <row r="11" spans="1:6" x14ac:dyDescent="0.2">
      <c r="A11" s="1">
        <v>10</v>
      </c>
      <c r="B11" s="1">
        <v>-0.15528020000000001</v>
      </c>
      <c r="C11" s="3">
        <v>2.2407919999999999</v>
      </c>
    </row>
    <row r="12" spans="1:6" x14ac:dyDescent="0.2">
      <c r="A12" s="1">
        <v>11</v>
      </c>
      <c r="B12" s="1">
        <v>-0.15887780000000001</v>
      </c>
      <c r="C12" s="3">
        <v>2.8338070000000002</v>
      </c>
    </row>
    <row r="13" spans="1:6" x14ac:dyDescent="0.2">
      <c r="A13" s="1">
        <v>12</v>
      </c>
      <c r="B13" s="1">
        <v>-0.137266</v>
      </c>
      <c r="C13" s="3">
        <v>2.4946600000000001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2025-07-10T03:55:01Z</dcterms:created>
  <dcterms:modified xsi:type="dcterms:W3CDTF">2025-07-30T07:27:28Z</dcterms:modified>
</cp:coreProperties>
</file>