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philliao/Downloads/Code/IB-Math-IA/2VAR_ATSBR_T2W/"/>
    </mc:Choice>
  </mc:AlternateContent>
  <xr:revisionPtr revIDLastSave="0" documentId="13_ncr:1_{38F72E0C-0D8A-AC4B-A90A-BD0AAF83A940}" xr6:coauthVersionLast="47" xr6:coauthVersionMax="47" xr10:uidLastSave="{00000000-0000-0000-0000-000000000000}"/>
  <bookViews>
    <workbookView xWindow="0" yWindow="660" windowWidth="25600" windowHeight="14320" xr2:uid="{4D1AF13A-A5F1-E34F-94D2-60D62824593C}"/>
  </bookViews>
  <sheets>
    <sheet name="Regression" sheetId="1" r:id="rId1"/>
    <sheet name="Outlier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N4" i="1" l="1"/>
  <c r="Z4" i="1"/>
  <c r="L4" i="1"/>
</calcChain>
</file>

<file path=xl/sharedStrings.xml><?xml version="1.0" encoding="utf-8"?>
<sst xmlns="http://schemas.openxmlformats.org/spreadsheetml/2006/main" count="16" uniqueCount="5">
  <si>
    <t>district_name</t>
  </si>
  <si>
    <t>speed_acr</t>
  </si>
  <si>
    <t>Percent BICYCLE</t>
  </si>
  <si>
    <t>Missing Data</t>
  </si>
  <si>
    <t>r 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</si>
</sst>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3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Congestion Rate to Bicycle</a:t>
            </a:r>
            <a:r>
              <a:rPr lang="en-US" baseline="0"/>
              <a:t> Rate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8.5169559196628025E-2"/>
                  <c:y val="0.41437721291549956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Regression!$C$2:$C$13</c:f>
              <c:numCache>
                <c:formatCode>General</c:formatCode>
                <c:ptCount val="12"/>
                <c:pt idx="0">
                  <c:v>15.58724</c:v>
                </c:pt>
                <c:pt idx="1">
                  <c:v>0.52957699999999996</c:v>
                </c:pt>
                <c:pt idx="2">
                  <c:v>28.346050000000002</c:v>
                </c:pt>
                <c:pt idx="3">
                  <c:v>3.186801</c:v>
                </c:pt>
                <c:pt idx="4">
                  <c:v>13.104430000000001</c:v>
                </c:pt>
                <c:pt idx="5">
                  <c:v>8.7025860000000002</c:v>
                </c:pt>
                <c:pt idx="6">
                  <c:v>33.591459999999998</c:v>
                </c:pt>
                <c:pt idx="7">
                  <c:v>19.313939999999999</c:v>
                </c:pt>
                <c:pt idx="9">
                  <c:v>7.6024139999999996</c:v>
                </c:pt>
                <c:pt idx="10">
                  <c:v>0.60503200000000001</c:v>
                </c:pt>
                <c:pt idx="11">
                  <c:v>39.211069999999999</c:v>
                </c:pt>
              </c:numCache>
            </c:numRef>
          </c:xVal>
          <c:yVal>
            <c:numRef>
              <c:f>Regression!$B$2:$B$13</c:f>
              <c:numCache>
                <c:formatCode>General</c:formatCode>
                <c:ptCount val="12"/>
                <c:pt idx="0">
                  <c:v>-8.9864000000000003E-3</c:v>
                </c:pt>
                <c:pt idx="1">
                  <c:v>-7.0763999999999994E-2</c:v>
                </c:pt>
                <c:pt idx="2">
                  <c:v>1.909891E-2</c:v>
                </c:pt>
                <c:pt idx="3">
                  <c:v>3.064716E-2</c:v>
                </c:pt>
                <c:pt idx="4">
                  <c:v>-1.3616899999999999E-2</c:v>
                </c:pt>
                <c:pt idx="5">
                  <c:v>8.6388100000000002E-3</c:v>
                </c:pt>
                <c:pt idx="6">
                  <c:v>5.5768249999999998E-2</c:v>
                </c:pt>
                <c:pt idx="7">
                  <c:v>1.93241E-2</c:v>
                </c:pt>
                <c:pt idx="9">
                  <c:v>-7.7793000000000003E-3</c:v>
                </c:pt>
                <c:pt idx="10">
                  <c:v>3.3507639999999998E-2</c:v>
                </c:pt>
                <c:pt idx="11">
                  <c:v>5.5304150000000003E-2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579-6747-B391-5FD430D261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01681119"/>
        <c:axId val="1001682831"/>
      </c:scatterChart>
      <c:valAx>
        <c:axId val="10016811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Bicycle Rate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1682831"/>
        <c:crosses val="autoZero"/>
        <c:crossBetween val="midCat"/>
      </c:valAx>
      <c:valAx>
        <c:axId val="10016828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Congestion Rate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16811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Congestion Rate to Bicycle</a:t>
            </a:r>
            <a:r>
              <a:rPr lang="en-US" baseline="0"/>
              <a:t> Rate (Unpopulated)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8.5169559196628025E-2"/>
                  <c:y val="0.41437721291549956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Regression!$AE$2:$AE$13</c:f>
              <c:numCache>
                <c:formatCode>General</c:formatCode>
                <c:ptCount val="12"/>
                <c:pt idx="0">
                  <c:v>15.58724</c:v>
                </c:pt>
                <c:pt idx="1">
                  <c:v>0.52957699999999996</c:v>
                </c:pt>
                <c:pt idx="4">
                  <c:v>13.104430000000001</c:v>
                </c:pt>
                <c:pt idx="5">
                  <c:v>8.7025860000000002</c:v>
                </c:pt>
                <c:pt idx="9">
                  <c:v>7.6024139999999996</c:v>
                </c:pt>
              </c:numCache>
            </c:numRef>
          </c:xVal>
          <c:yVal>
            <c:numRef>
              <c:f>Regression!$AD$2:$AD$13</c:f>
              <c:numCache>
                <c:formatCode>General</c:formatCode>
                <c:ptCount val="12"/>
                <c:pt idx="0">
                  <c:v>-8.9864000000000003E-3</c:v>
                </c:pt>
                <c:pt idx="1">
                  <c:v>-7.0763999999999994E-2</c:v>
                </c:pt>
                <c:pt idx="4">
                  <c:v>-1.3616899999999999E-2</c:v>
                </c:pt>
                <c:pt idx="5">
                  <c:v>8.6388100000000002E-3</c:v>
                </c:pt>
                <c:pt idx="9">
                  <c:v>-7.7793000000000003E-3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275-3248-9131-271D446AB9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01681119"/>
        <c:axId val="1001682831"/>
      </c:scatterChart>
      <c:valAx>
        <c:axId val="10016811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Bicycle Rate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1682831"/>
        <c:crosses val="autoZero"/>
        <c:crossBetween val="midCat"/>
      </c:valAx>
      <c:valAx>
        <c:axId val="10016828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Congestion Rate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16811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Congestion Rate to Bicycle</a:t>
            </a:r>
            <a:r>
              <a:rPr lang="en-US" baseline="0"/>
              <a:t> Rate (Populated)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8.5169559196628025E-2"/>
                  <c:y val="0.41437721291549956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Regression!$Q$2:$Q$13</c:f>
              <c:numCache>
                <c:formatCode>General</c:formatCode>
                <c:ptCount val="12"/>
                <c:pt idx="2">
                  <c:v>28.346050000000002</c:v>
                </c:pt>
                <c:pt idx="3">
                  <c:v>3.186801</c:v>
                </c:pt>
                <c:pt idx="6">
                  <c:v>33.591459999999998</c:v>
                </c:pt>
                <c:pt idx="7">
                  <c:v>19.313939999999999</c:v>
                </c:pt>
                <c:pt idx="10">
                  <c:v>0.60503200000000001</c:v>
                </c:pt>
                <c:pt idx="11">
                  <c:v>39.211069999999999</c:v>
                </c:pt>
              </c:numCache>
            </c:numRef>
          </c:xVal>
          <c:yVal>
            <c:numRef>
              <c:f>Regression!$P$2:$P$13</c:f>
              <c:numCache>
                <c:formatCode>General</c:formatCode>
                <c:ptCount val="12"/>
                <c:pt idx="2">
                  <c:v>1.909891E-2</c:v>
                </c:pt>
                <c:pt idx="3">
                  <c:v>3.064716E-2</c:v>
                </c:pt>
                <c:pt idx="6">
                  <c:v>5.5768249999999998E-2</c:v>
                </c:pt>
                <c:pt idx="7">
                  <c:v>1.93241E-2</c:v>
                </c:pt>
                <c:pt idx="10">
                  <c:v>3.3507639999999998E-2</c:v>
                </c:pt>
                <c:pt idx="11">
                  <c:v>5.5304150000000003E-2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972-A943-A071-7F97C0DD12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01681119"/>
        <c:axId val="1001682831"/>
      </c:scatterChart>
      <c:valAx>
        <c:axId val="10016811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Bicycle Rate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1682831"/>
        <c:crosses val="autoZero"/>
        <c:crossBetween val="midCat"/>
      </c:valAx>
      <c:valAx>
        <c:axId val="10016828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Congestion Rate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16811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9</xdr:col>
      <xdr:colOff>819150</xdr:colOff>
      <xdr:row>13</xdr:row>
      <xdr:rowOff>196850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AF017F-773D-4941-A47F-26B8E78A55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32</xdr:col>
      <xdr:colOff>0</xdr:colOff>
      <xdr:row>0</xdr:row>
      <xdr:rowOff>0</xdr:rowOff>
    </xdr:from>
    <xdr:to>
      <xdr:col>37</xdr:col>
      <xdr:colOff>819150</xdr:colOff>
      <xdr:row>13</xdr:row>
      <xdr:rowOff>196850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F4A5885-759E-5748-9D84-66232EE56A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0</xdr:colOff>
      <xdr:row>0</xdr:row>
      <xdr:rowOff>0</xdr:rowOff>
    </xdr:from>
    <xdr:to>
      <xdr:col>23</xdr:col>
      <xdr:colOff>819150</xdr:colOff>
      <xdr:row>13</xdr:row>
      <xdr:rowOff>196850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F028768-E729-9B4B-816C-428926026E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C884C-E453-6B44-ADBD-205B6FE17472}">
  <dimension ref="A1:AN13"/>
  <sheetViews>
    <sheetView tabSelected="1" workbookViewId="0">
      <selection activeCell="D14" sqref="D14"/>
    </sheetView>
  </sheetViews>
  <sheetFormatPr baseColWidth="10" defaultRowHeight="16" x14ac:dyDescent="0.2"/>
  <sheetData>
    <row r="1" spans="1:40" x14ac:dyDescent="0.2">
      <c r="A1" s="1" t="s">
        <v>0</v>
      </c>
      <c r="B1" s="1" t="s">
        <v>1</v>
      </c>
      <c r="C1" s="2" t="s">
        <v>2</v>
      </c>
      <c r="O1" s="1" t="s">
        <v>0</v>
      </c>
      <c r="P1" s="1" t="s">
        <v>1</v>
      </c>
      <c r="Q1" s="2" t="s">
        <v>2</v>
      </c>
      <c r="AC1" s="1" t="s">
        <v>0</v>
      </c>
      <c r="AD1" s="1" t="s">
        <v>1</v>
      </c>
      <c r="AE1" s="2" t="s">
        <v>2</v>
      </c>
    </row>
    <row r="2" spans="1:40" x14ac:dyDescent="0.2">
      <c r="A2" s="1">
        <v>1</v>
      </c>
      <c r="B2" s="1">
        <v>-8.9864000000000003E-3</v>
      </c>
      <c r="C2" s="3">
        <v>15.58724</v>
      </c>
      <c r="O2" s="1">
        <v>1</v>
      </c>
      <c r="P2" s="1"/>
      <c r="Q2" s="3"/>
      <c r="AC2" s="1">
        <v>1</v>
      </c>
      <c r="AD2" s="1">
        <v>-8.9864000000000003E-3</v>
      </c>
      <c r="AE2" s="3">
        <v>15.58724</v>
      </c>
    </row>
    <row r="3" spans="1:40" x14ac:dyDescent="0.2">
      <c r="A3" s="1">
        <v>2</v>
      </c>
      <c r="B3" s="1">
        <v>-7.0763999999999994E-2</v>
      </c>
      <c r="C3" s="3">
        <v>0.52957699999999996</v>
      </c>
      <c r="O3" s="1">
        <v>2</v>
      </c>
      <c r="P3" s="1"/>
      <c r="Q3" s="3"/>
      <c r="AC3" s="1">
        <v>2</v>
      </c>
      <c r="AD3" s="1">
        <v>-7.0763999999999994E-2</v>
      </c>
      <c r="AE3" s="3">
        <v>0.52957699999999996</v>
      </c>
    </row>
    <row r="4" spans="1:40" x14ac:dyDescent="0.2">
      <c r="A4" s="1">
        <v>3</v>
      </c>
      <c r="B4" s="1">
        <v>1.909891E-2</v>
      </c>
      <c r="C4" s="3">
        <v>28.346050000000002</v>
      </c>
      <c r="K4" t="s">
        <v>4</v>
      </c>
      <c r="L4">
        <f>CORREL(C2:C13,B2:B13)</f>
        <v>0.59436329575376301</v>
      </c>
      <c r="O4" s="1">
        <v>3</v>
      </c>
      <c r="P4" s="1">
        <v>1.909891E-2</v>
      </c>
      <c r="Q4" s="3">
        <v>28.346050000000002</v>
      </c>
      <c r="Y4" t="s">
        <v>4</v>
      </c>
      <c r="Z4">
        <f>CORREL(Q2:Q13,P2:P13)</f>
        <v>0.49243635502324717</v>
      </c>
      <c r="AC4" s="1">
        <v>3</v>
      </c>
      <c r="AD4" s="1"/>
      <c r="AE4" s="3"/>
      <c r="AM4" t="s">
        <v>4</v>
      </c>
      <c r="AN4">
        <f>CORREL(AE2:AE13,AD2:AD13)</f>
        <v>0.71377141225435903</v>
      </c>
    </row>
    <row r="5" spans="1:40" x14ac:dyDescent="0.2">
      <c r="A5" s="1">
        <v>4</v>
      </c>
      <c r="B5" s="1">
        <v>3.064716E-2</v>
      </c>
      <c r="C5" s="3">
        <v>3.186801</v>
      </c>
      <c r="O5" s="1">
        <v>4</v>
      </c>
      <c r="P5" s="1">
        <v>3.064716E-2</v>
      </c>
      <c r="Q5" s="3">
        <v>3.186801</v>
      </c>
      <c r="AC5" s="1">
        <v>4</v>
      </c>
      <c r="AD5" s="1"/>
      <c r="AE5" s="3"/>
    </row>
    <row r="6" spans="1:40" x14ac:dyDescent="0.2">
      <c r="A6" s="1">
        <v>5</v>
      </c>
      <c r="B6" s="1">
        <v>-1.3616899999999999E-2</v>
      </c>
      <c r="C6" s="3">
        <v>13.104430000000001</v>
      </c>
      <c r="O6" s="1">
        <v>5</v>
      </c>
      <c r="P6" s="1"/>
      <c r="Q6" s="3"/>
      <c r="AC6" s="1">
        <v>5</v>
      </c>
      <c r="AD6" s="1">
        <v>-1.3616899999999999E-2</v>
      </c>
      <c r="AE6" s="3">
        <v>13.104430000000001</v>
      </c>
    </row>
    <row r="7" spans="1:40" x14ac:dyDescent="0.2">
      <c r="A7" s="1">
        <v>6</v>
      </c>
      <c r="B7" s="1">
        <v>8.6388100000000002E-3</v>
      </c>
      <c r="C7" s="3">
        <v>8.7025860000000002</v>
      </c>
      <c r="O7" s="1">
        <v>6</v>
      </c>
      <c r="P7" s="1"/>
      <c r="Q7" s="3"/>
      <c r="AC7" s="1">
        <v>6</v>
      </c>
      <c r="AD7" s="1">
        <v>8.6388100000000002E-3</v>
      </c>
      <c r="AE7" s="3">
        <v>8.7025860000000002</v>
      </c>
    </row>
    <row r="8" spans="1:40" x14ac:dyDescent="0.2">
      <c r="A8" s="1">
        <v>7</v>
      </c>
      <c r="B8" s="1">
        <v>5.5768249999999998E-2</v>
      </c>
      <c r="C8" s="3">
        <v>33.591459999999998</v>
      </c>
      <c r="O8" s="1">
        <v>7</v>
      </c>
      <c r="P8" s="1">
        <v>5.5768249999999998E-2</v>
      </c>
      <c r="Q8" s="3">
        <v>33.591459999999998</v>
      </c>
      <c r="AC8" s="1">
        <v>7</v>
      </c>
      <c r="AD8" s="1"/>
      <c r="AE8" s="3"/>
    </row>
    <row r="9" spans="1:40" x14ac:dyDescent="0.2">
      <c r="A9" s="1">
        <v>8</v>
      </c>
      <c r="B9" s="1">
        <v>1.93241E-2</v>
      </c>
      <c r="C9" s="3">
        <v>19.313939999999999</v>
      </c>
      <c r="O9" s="1">
        <v>8</v>
      </c>
      <c r="P9" s="1">
        <v>1.93241E-2</v>
      </c>
      <c r="Q9" s="3">
        <v>19.313939999999999</v>
      </c>
      <c r="AC9" s="1">
        <v>8</v>
      </c>
      <c r="AD9" s="1"/>
      <c r="AE9" s="3"/>
    </row>
    <row r="10" spans="1:40" x14ac:dyDescent="0.2">
      <c r="A10" s="1">
        <v>9</v>
      </c>
      <c r="B10" s="1"/>
      <c r="O10" s="1">
        <v>9</v>
      </c>
      <c r="P10" s="1"/>
      <c r="AC10" s="1">
        <v>9</v>
      </c>
      <c r="AD10" s="1"/>
    </row>
    <row r="11" spans="1:40" x14ac:dyDescent="0.2">
      <c r="A11" s="1">
        <v>10</v>
      </c>
      <c r="B11" s="1">
        <v>-7.7793000000000003E-3</v>
      </c>
      <c r="C11" s="3">
        <v>7.6024139999999996</v>
      </c>
      <c r="O11" s="1">
        <v>10</v>
      </c>
      <c r="P11" s="1"/>
      <c r="Q11" s="3"/>
      <c r="AC11" s="1">
        <v>10</v>
      </c>
      <c r="AD11" s="1">
        <v>-7.7793000000000003E-3</v>
      </c>
      <c r="AE11" s="3">
        <v>7.6024139999999996</v>
      </c>
    </row>
    <row r="12" spans="1:40" x14ac:dyDescent="0.2">
      <c r="A12" s="1">
        <v>11</v>
      </c>
      <c r="B12" s="1">
        <v>3.3507639999999998E-2</v>
      </c>
      <c r="C12" s="3">
        <v>0.60503200000000001</v>
      </c>
      <c r="O12" s="1">
        <v>11</v>
      </c>
      <c r="P12" s="1">
        <v>3.3507639999999998E-2</v>
      </c>
      <c r="Q12" s="3">
        <v>0.60503200000000001</v>
      </c>
      <c r="AC12" s="1">
        <v>11</v>
      </c>
      <c r="AD12" s="1"/>
      <c r="AE12" s="3"/>
    </row>
    <row r="13" spans="1:40" x14ac:dyDescent="0.2">
      <c r="A13" s="1">
        <v>12</v>
      </c>
      <c r="B13" s="1">
        <v>5.5304150000000003E-2</v>
      </c>
      <c r="C13" s="3">
        <v>39.211069999999999</v>
      </c>
      <c r="O13" s="1">
        <v>12</v>
      </c>
      <c r="P13" s="1">
        <v>5.5304150000000003E-2</v>
      </c>
      <c r="Q13" s="3">
        <v>39.211069999999999</v>
      </c>
      <c r="AC13" s="1">
        <v>12</v>
      </c>
      <c r="AD13" s="1"/>
      <c r="AE13" s="3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3C8D6-DB9E-F64E-B80F-E59806F35A9F}">
  <dimension ref="A1:E13"/>
  <sheetViews>
    <sheetView workbookViewId="0">
      <selection activeCell="D20" sqref="D20"/>
    </sheetView>
  </sheetViews>
  <sheetFormatPr baseColWidth="10" defaultRowHeight="16" x14ac:dyDescent="0.2"/>
  <sheetData>
    <row r="1" spans="1:5" x14ac:dyDescent="0.2">
      <c r="A1" s="1" t="s">
        <v>0</v>
      </c>
      <c r="B1" s="1" t="s">
        <v>1</v>
      </c>
      <c r="C1" s="2" t="s">
        <v>2</v>
      </c>
    </row>
    <row r="2" spans="1:5" x14ac:dyDescent="0.2">
      <c r="A2" s="1">
        <v>1</v>
      </c>
      <c r="B2" s="1">
        <v>-8.9864000000000003E-3</v>
      </c>
      <c r="C2" s="3">
        <v>15.58724</v>
      </c>
    </row>
    <row r="3" spans="1:5" x14ac:dyDescent="0.2">
      <c r="A3" s="1">
        <v>2</v>
      </c>
      <c r="B3" s="1">
        <v>-7.0763999999999994E-2</v>
      </c>
      <c r="C3" s="3">
        <v>0.52957699999999996</v>
      </c>
    </row>
    <row r="4" spans="1:5" x14ac:dyDescent="0.2">
      <c r="A4" s="1">
        <v>3</v>
      </c>
      <c r="B4" s="1">
        <v>1.909891E-2</v>
      </c>
      <c r="C4" s="3">
        <v>28.346050000000002</v>
      </c>
    </row>
    <row r="5" spans="1:5" x14ac:dyDescent="0.2">
      <c r="A5" s="1">
        <v>4</v>
      </c>
      <c r="B5" s="1">
        <v>3.064716E-2</v>
      </c>
      <c r="C5" s="3">
        <v>3.186801</v>
      </c>
    </row>
    <row r="6" spans="1:5" x14ac:dyDescent="0.2">
      <c r="A6" s="1">
        <v>5</v>
      </c>
      <c r="B6" s="1">
        <v>-1.3616899999999999E-2</v>
      </c>
      <c r="C6" s="3">
        <v>13.104430000000001</v>
      </c>
    </row>
    <row r="7" spans="1:5" x14ac:dyDescent="0.2">
      <c r="A7" s="1">
        <v>6</v>
      </c>
      <c r="B7" s="1">
        <v>8.6388100000000002E-3</v>
      </c>
      <c r="C7" s="3">
        <v>8.7025860000000002</v>
      </c>
    </row>
    <row r="8" spans="1:5" x14ac:dyDescent="0.2">
      <c r="A8" s="1">
        <v>7</v>
      </c>
      <c r="B8" s="1">
        <v>5.5768249999999998E-2</v>
      </c>
      <c r="C8" s="3">
        <v>33.591459999999998</v>
      </c>
    </row>
    <row r="9" spans="1:5" x14ac:dyDescent="0.2">
      <c r="A9" s="1">
        <v>8</v>
      </c>
      <c r="B9" s="1">
        <v>1.93241E-2</v>
      </c>
      <c r="C9" s="3">
        <v>19.313939999999999</v>
      </c>
    </row>
    <row r="10" spans="1:5" x14ac:dyDescent="0.2">
      <c r="A10" s="1">
        <v>9</v>
      </c>
      <c r="D10" s="1">
        <v>-0.22066379999999999</v>
      </c>
      <c r="E10" t="s">
        <v>3</v>
      </c>
    </row>
    <row r="11" spans="1:5" x14ac:dyDescent="0.2">
      <c r="A11" s="1">
        <v>10</v>
      </c>
      <c r="B11" s="1">
        <v>-7.7793000000000003E-3</v>
      </c>
      <c r="C11" s="3">
        <v>7.6024139999999996</v>
      </c>
    </row>
    <row r="12" spans="1:5" x14ac:dyDescent="0.2">
      <c r="A12" s="1">
        <v>11</v>
      </c>
      <c r="B12" s="1">
        <v>3.3507639999999998E-2</v>
      </c>
      <c r="C12" s="3">
        <v>0.60503200000000001</v>
      </c>
    </row>
    <row r="13" spans="1:5" x14ac:dyDescent="0.2">
      <c r="A13" s="1">
        <v>12</v>
      </c>
      <c r="B13" s="1">
        <v>5.5304150000000003E-2</v>
      </c>
      <c r="C13" s="3">
        <v>39.211069999999999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Regression</vt:lpstr>
      <vt:lpstr>Outlier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Phil Liao</dc:creator>
  <cp:lastModifiedBy>Phil Liao</cp:lastModifiedBy>
  <dcterms:created xsi:type="dcterms:W3CDTF">2025-07-10T03:55:01Z</dcterms:created>
  <dcterms:modified xsi:type="dcterms:W3CDTF">2025-07-16T03:58:59Z</dcterms:modified>
</cp:coreProperties>
</file>