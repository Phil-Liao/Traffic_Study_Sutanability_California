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R_T2W/"/>
    </mc:Choice>
  </mc:AlternateContent>
  <xr:revisionPtr revIDLastSave="0" documentId="13_ncr:1_{6B7262A7-EA61-9D40-B313-84DE51B942A9}" xr6:coauthVersionLast="47" xr6:coauthVersionMax="47" xr10:uidLastSave="{00000000-0000-0000-0000-000000000000}"/>
  <bookViews>
    <workbookView xWindow="3860" yWindow="600" windowWidth="21740" windowHeight="14280" xr2:uid="{4D1AF13A-A5F1-E34F-94D2-60D62824593C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AG41" i="1"/>
  <c r="AG42" i="1"/>
  <c r="AG43" i="1"/>
  <c r="AG44" i="1"/>
  <c r="AG40" i="1"/>
  <c r="AE41" i="1"/>
  <c r="AE42" i="1"/>
  <c r="AE43" i="1"/>
  <c r="AE44" i="1"/>
  <c r="AE40" i="1"/>
  <c r="AJ41" i="1" s="1"/>
  <c r="S41" i="1"/>
  <c r="S42" i="1"/>
  <c r="S43" i="1"/>
  <c r="S44" i="1"/>
  <c r="S45" i="1"/>
  <c r="S40" i="1"/>
  <c r="Q41" i="1"/>
  <c r="Q42" i="1"/>
  <c r="Q43" i="1"/>
  <c r="Q44" i="1"/>
  <c r="Q45" i="1"/>
  <c r="Q40" i="1"/>
  <c r="V41" i="1" s="1"/>
  <c r="E41" i="1"/>
  <c r="E42" i="1"/>
  <c r="E43" i="1"/>
  <c r="E44" i="1"/>
  <c r="E45" i="1"/>
  <c r="E46" i="1"/>
  <c r="E47" i="1"/>
  <c r="E48" i="1"/>
  <c r="E49" i="1"/>
  <c r="E50" i="1"/>
  <c r="E40" i="1"/>
  <c r="C41" i="1"/>
  <c r="C42" i="1"/>
  <c r="C43" i="1"/>
  <c r="C44" i="1"/>
  <c r="C45" i="1"/>
  <c r="C46" i="1"/>
  <c r="C47" i="1"/>
  <c r="C48" i="1"/>
  <c r="C49" i="1"/>
  <c r="C50" i="1"/>
  <c r="C40" i="1"/>
  <c r="H41" i="1" s="1"/>
  <c r="L4" i="1"/>
  <c r="Z4" i="1"/>
</calcChain>
</file>

<file path=xl/sharedStrings.xml><?xml version="1.0" encoding="utf-8"?>
<sst xmlns="http://schemas.openxmlformats.org/spreadsheetml/2006/main" count="121" uniqueCount="32">
  <si>
    <t>district_name</t>
  </si>
  <si>
    <t>speed_acr</t>
  </si>
  <si>
    <t>Percent BICYCLE</t>
  </si>
  <si>
    <t>Missing Data</t>
  </si>
  <si>
    <t>r value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</si>
  <si>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</si>
  <si>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</si>
  <si>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</si>
  <si>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</si>
  <si>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</si>
  <si>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</si>
  <si>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</si>
  <si>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</si>
  <si>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</si>
  <si>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</si>
  <si>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</si>
  <si>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</si>
  <si>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</si>
  <si>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</si>
  <si>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</si>
  <si>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</si>
  <si>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</si>
  <si>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</si>
  <si>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</si>
  <si>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</si>
  <si>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</si>
  <si>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</si>
  <si>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</si>
  <si>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</si>
  <si>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speed_acr_rank</t>
  </si>
  <si>
    <t>Percent BICYCLE rank</t>
  </si>
  <si>
    <t>rho=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</si>
</sst>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1" xfId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ATSBR BICYCLE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15.58724</c:v>
                </c:pt>
                <c:pt idx="1">
                  <c:v>0.52957699999999996</c:v>
                </c:pt>
                <c:pt idx="2">
                  <c:v>28.346050000000002</c:v>
                </c:pt>
                <c:pt idx="3">
                  <c:v>3.186801</c:v>
                </c:pt>
                <c:pt idx="4">
                  <c:v>13.104430000000001</c:v>
                </c:pt>
                <c:pt idx="5">
                  <c:v>8.7025860000000002</c:v>
                </c:pt>
                <c:pt idx="6">
                  <c:v>33.591459999999998</c:v>
                </c:pt>
                <c:pt idx="7">
                  <c:v>19.313939999999999</c:v>
                </c:pt>
                <c:pt idx="9">
                  <c:v>7.6024139999999996</c:v>
                </c:pt>
                <c:pt idx="10">
                  <c:v>0.60503200000000001</c:v>
                </c:pt>
                <c:pt idx="11">
                  <c:v>39.211069999999999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-8.9864000000000003E-3</c:v>
                </c:pt>
                <c:pt idx="1">
                  <c:v>-7.0763999999999994E-2</c:v>
                </c:pt>
                <c:pt idx="2">
                  <c:v>1.909891E-2</c:v>
                </c:pt>
                <c:pt idx="3">
                  <c:v>3.064716E-2</c:v>
                </c:pt>
                <c:pt idx="4">
                  <c:v>-1.3616899999999999E-2</c:v>
                </c:pt>
                <c:pt idx="5">
                  <c:v>8.6388100000000002E-3</c:v>
                </c:pt>
                <c:pt idx="6">
                  <c:v>5.5768249999999998E-2</c:v>
                </c:pt>
                <c:pt idx="7">
                  <c:v>1.93241E-2</c:v>
                </c:pt>
                <c:pt idx="9">
                  <c:v>-7.7793000000000003E-3</c:v>
                </c:pt>
                <c:pt idx="10">
                  <c:v>3.3507639999999998E-2</c:v>
                </c:pt>
                <c:pt idx="11">
                  <c:v>5.5304150000000003E-2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9-6747-B391-5FD430D26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Bicycle</a:t>
            </a:r>
            <a:r>
              <a:rPr lang="en-US" baseline="0"/>
              <a:t> Rate (Unpopulated)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Regression!$AE$2:$AE$13</c:f>
              <c:numCache>
                <c:formatCode>General</c:formatCode>
                <c:ptCount val="12"/>
                <c:pt idx="0">
                  <c:v>15.58724</c:v>
                </c:pt>
                <c:pt idx="1">
                  <c:v>0.52957699999999996</c:v>
                </c:pt>
                <c:pt idx="4">
                  <c:v>13.104430000000001</c:v>
                </c:pt>
                <c:pt idx="5">
                  <c:v>8.7025860000000002</c:v>
                </c:pt>
                <c:pt idx="9">
                  <c:v>7.6024139999999996</c:v>
                </c:pt>
              </c:numCache>
            </c:numRef>
          </c:xVal>
          <c:yVal>
            <c:numRef>
              <c:f>Regression!$AD$2:$AD$13</c:f>
              <c:numCache>
                <c:formatCode>General</c:formatCode>
                <c:ptCount val="12"/>
                <c:pt idx="0">
                  <c:v>-8.9864000000000003E-3</c:v>
                </c:pt>
                <c:pt idx="1">
                  <c:v>-7.0763999999999994E-2</c:v>
                </c:pt>
                <c:pt idx="4">
                  <c:v>-1.3616899999999999E-2</c:v>
                </c:pt>
                <c:pt idx="5">
                  <c:v>8.6388100000000002E-3</c:v>
                </c:pt>
                <c:pt idx="9">
                  <c:v>-7.7793000000000003E-3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5-3248-9131-271D446A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ATSBR BICYCLE</a:t>
            </a:r>
            <a:r>
              <a:rPr lang="en-US" baseline="0"/>
              <a:t> (Crowded)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Regression!$Q$2:$Q$13</c:f>
              <c:numCache>
                <c:formatCode>General</c:formatCode>
                <c:ptCount val="12"/>
                <c:pt idx="2">
                  <c:v>28.346050000000002</c:v>
                </c:pt>
                <c:pt idx="3">
                  <c:v>3.186801</c:v>
                </c:pt>
                <c:pt idx="6">
                  <c:v>33.591459999999998</c:v>
                </c:pt>
                <c:pt idx="7">
                  <c:v>19.313939999999999</c:v>
                </c:pt>
                <c:pt idx="10">
                  <c:v>0.60503200000000001</c:v>
                </c:pt>
                <c:pt idx="11">
                  <c:v>39.211069999999999</c:v>
                </c:pt>
              </c:numCache>
            </c:numRef>
          </c:xVal>
          <c:yVal>
            <c:numRef>
              <c:f>Regression!$P$2:$P$13</c:f>
              <c:numCache>
                <c:formatCode>General</c:formatCode>
                <c:ptCount val="12"/>
                <c:pt idx="2">
                  <c:v>1.909891E-2</c:v>
                </c:pt>
                <c:pt idx="3">
                  <c:v>3.064716E-2</c:v>
                </c:pt>
                <c:pt idx="6">
                  <c:v>5.5768249999999998E-2</c:v>
                </c:pt>
                <c:pt idx="7">
                  <c:v>1.93241E-2</c:v>
                </c:pt>
                <c:pt idx="10">
                  <c:v>3.3507639999999998E-2</c:v>
                </c:pt>
                <c:pt idx="11">
                  <c:v>5.5304150000000003E-2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72-A943-A071-7F97C0DD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819150</xdr:colOff>
      <xdr:row>13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F017F-773D-4941-A47F-26B8E78A5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37</xdr:col>
      <xdr:colOff>819150</xdr:colOff>
      <xdr:row>13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4A5885-759E-5748-9D84-66232EE56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819150</xdr:colOff>
      <xdr:row>13</xdr:row>
      <xdr:rowOff>196850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028768-E729-9B4B-816C-428926026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884C-E453-6B44-ADBD-205B6FE17472}">
  <dimension ref="A1:AO50"/>
  <sheetViews>
    <sheetView tabSelected="1" topLeftCell="AA1" workbookViewId="0">
      <selection activeCell="AN4" sqref="AN4"/>
    </sheetView>
  </sheetViews>
  <sheetFormatPr baseColWidth="10" defaultRowHeight="16" x14ac:dyDescent="0.2"/>
  <cols>
    <col min="45" max="45" width="14.1640625" customWidth="1"/>
    <col min="46" max="46" width="15.1640625" customWidth="1"/>
  </cols>
  <sheetData>
    <row r="1" spans="1:40" x14ac:dyDescent="0.2">
      <c r="A1" s="1" t="s">
        <v>0</v>
      </c>
      <c r="B1" s="1" t="s">
        <v>1</v>
      </c>
      <c r="C1" s="2" t="s">
        <v>2</v>
      </c>
      <c r="O1" s="1" t="s">
        <v>0</v>
      </c>
      <c r="P1" s="1" t="s">
        <v>1</v>
      </c>
      <c r="Q1" s="2" t="s">
        <v>2</v>
      </c>
      <c r="AC1" s="1" t="s">
        <v>0</v>
      </c>
      <c r="AD1" s="1" t="s">
        <v>1</v>
      </c>
      <c r="AE1" s="2" t="s">
        <v>2</v>
      </c>
    </row>
    <row r="2" spans="1:40" x14ac:dyDescent="0.2">
      <c r="A2" s="1">
        <v>1</v>
      </c>
      <c r="B2" s="1">
        <v>-8.9864000000000003E-3</v>
      </c>
      <c r="C2" s="3">
        <v>15.58724</v>
      </c>
      <c r="O2" s="1">
        <v>1</v>
      </c>
      <c r="P2" s="1"/>
      <c r="Q2" s="3"/>
      <c r="AC2" s="1">
        <v>1</v>
      </c>
      <c r="AD2" s="1">
        <v>-8.9864000000000003E-3</v>
      </c>
      <c r="AE2" s="3">
        <v>15.58724</v>
      </c>
    </row>
    <row r="3" spans="1:40" x14ac:dyDescent="0.2">
      <c r="A3" s="1">
        <v>2</v>
      </c>
      <c r="B3" s="1">
        <v>-7.0763999999999994E-2</v>
      </c>
      <c r="C3" s="3">
        <v>0.52957699999999996</v>
      </c>
      <c r="O3" s="1">
        <v>2</v>
      </c>
      <c r="P3" s="1"/>
      <c r="Q3" s="3"/>
      <c r="AC3" s="1">
        <v>2</v>
      </c>
      <c r="AD3" s="1">
        <v>-7.0763999999999994E-2</v>
      </c>
      <c r="AE3" s="3">
        <v>0.52957699999999996</v>
      </c>
    </row>
    <row r="4" spans="1:40" x14ac:dyDescent="0.2">
      <c r="A4" s="1">
        <v>3</v>
      </c>
      <c r="B4" s="1">
        <v>1.909891E-2</v>
      </c>
      <c r="C4" s="3">
        <v>28.346050000000002</v>
      </c>
      <c r="K4" t="s">
        <v>4</v>
      </c>
      <c r="L4">
        <f>CORREL(C2:C13,B2:B13)</f>
        <v>0.59436329575376301</v>
      </c>
      <c r="O4" s="1">
        <v>3</v>
      </c>
      <c r="P4" s="1">
        <v>1.909891E-2</v>
      </c>
      <c r="Q4" s="3">
        <v>28.346050000000002</v>
      </c>
      <c r="Y4" t="s">
        <v>4</v>
      </c>
      <c r="Z4">
        <f>CORREL(Q2:Q13,P2:P13)</f>
        <v>0.49243635502324717</v>
      </c>
      <c r="AC4" s="1">
        <v>3</v>
      </c>
      <c r="AD4" s="1"/>
      <c r="AE4" s="3"/>
      <c r="AM4" t="s">
        <v>4</v>
      </c>
      <c r="AN4">
        <f>CORREL(AE2:AE13,AD2:AD13)</f>
        <v>0.71377141225435903</v>
      </c>
    </row>
    <row r="5" spans="1:40" x14ac:dyDescent="0.2">
      <c r="A5" s="1">
        <v>4</v>
      </c>
      <c r="B5" s="1">
        <v>3.064716E-2</v>
      </c>
      <c r="C5" s="3">
        <v>3.186801</v>
      </c>
      <c r="O5" s="1">
        <v>4</v>
      </c>
      <c r="P5" s="1">
        <v>3.064716E-2</v>
      </c>
      <c r="Q5" s="3">
        <v>3.186801</v>
      </c>
      <c r="AC5" s="1">
        <v>4</v>
      </c>
      <c r="AD5" s="1"/>
      <c r="AE5" s="3"/>
    </row>
    <row r="6" spans="1:40" x14ac:dyDescent="0.2">
      <c r="A6" s="1">
        <v>5</v>
      </c>
      <c r="B6" s="1">
        <v>-1.3616899999999999E-2</v>
      </c>
      <c r="C6" s="3">
        <v>13.104430000000001</v>
      </c>
      <c r="O6" s="1">
        <v>5</v>
      </c>
      <c r="P6" s="1"/>
      <c r="Q6" s="3"/>
      <c r="AC6" s="1">
        <v>5</v>
      </c>
      <c r="AD6" s="1">
        <v>-1.3616899999999999E-2</v>
      </c>
      <c r="AE6" s="3">
        <v>13.104430000000001</v>
      </c>
    </row>
    <row r="7" spans="1:40" x14ac:dyDescent="0.2">
      <c r="A7" s="1">
        <v>6</v>
      </c>
      <c r="B7" s="1">
        <v>8.6388100000000002E-3</v>
      </c>
      <c r="C7" s="3">
        <v>8.7025860000000002</v>
      </c>
      <c r="O7" s="1">
        <v>6</v>
      </c>
      <c r="P7" s="1"/>
      <c r="Q7" s="3"/>
      <c r="AC7" s="1">
        <v>6</v>
      </c>
      <c r="AD7" s="1">
        <v>8.6388100000000002E-3</v>
      </c>
      <c r="AE7" s="3">
        <v>8.7025860000000002</v>
      </c>
    </row>
    <row r="8" spans="1:40" x14ac:dyDescent="0.2">
      <c r="A8" s="1">
        <v>7</v>
      </c>
      <c r="B8" s="1">
        <v>5.5768249999999998E-2</v>
      </c>
      <c r="C8" s="3">
        <v>33.591459999999998</v>
      </c>
      <c r="O8" s="1">
        <v>7</v>
      </c>
      <c r="P8" s="1">
        <v>5.5768249999999998E-2</v>
      </c>
      <c r="Q8" s="3">
        <v>33.591459999999998</v>
      </c>
      <c r="AC8" s="1">
        <v>7</v>
      </c>
      <c r="AD8" s="1"/>
      <c r="AE8" s="3"/>
    </row>
    <row r="9" spans="1:40" x14ac:dyDescent="0.2">
      <c r="A9" s="1">
        <v>8</v>
      </c>
      <c r="B9" s="1">
        <v>1.93241E-2</v>
      </c>
      <c r="C9" s="3">
        <v>19.313939999999999</v>
      </c>
      <c r="O9" s="1">
        <v>8</v>
      </c>
      <c r="P9" s="1">
        <v>1.93241E-2</v>
      </c>
      <c r="Q9" s="3">
        <v>19.313939999999999</v>
      </c>
      <c r="AC9" s="1">
        <v>8</v>
      </c>
      <c r="AD9" s="1"/>
      <c r="AE9" s="3"/>
    </row>
    <row r="10" spans="1:40" x14ac:dyDescent="0.2">
      <c r="A10" s="1">
        <v>9</v>
      </c>
      <c r="B10" s="1"/>
      <c r="O10" s="1">
        <v>9</v>
      </c>
      <c r="P10" s="1"/>
      <c r="AC10" s="1">
        <v>9</v>
      </c>
      <c r="AD10" s="1"/>
    </row>
    <row r="11" spans="1:40" x14ac:dyDescent="0.2">
      <c r="A11" s="1">
        <v>10</v>
      </c>
      <c r="B11" s="1">
        <v>-7.7793000000000003E-3</v>
      </c>
      <c r="C11" s="3">
        <v>7.6024139999999996</v>
      </c>
      <c r="O11" s="1">
        <v>10</v>
      </c>
      <c r="P11" s="1"/>
      <c r="Q11" s="3"/>
      <c r="AC11" s="1">
        <v>10</v>
      </c>
      <c r="AD11" s="1">
        <v>-7.7793000000000003E-3</v>
      </c>
      <c r="AE11" s="3">
        <v>7.6024139999999996</v>
      </c>
    </row>
    <row r="12" spans="1:40" x14ac:dyDescent="0.2">
      <c r="A12" s="1">
        <v>11</v>
      </c>
      <c r="B12" s="1">
        <v>3.3507639999999998E-2</v>
      </c>
      <c r="C12" s="3">
        <v>0.60503200000000001</v>
      </c>
      <c r="O12" s="1">
        <v>11</v>
      </c>
      <c r="P12" s="1">
        <v>3.3507639999999998E-2</v>
      </c>
      <c r="Q12" s="3">
        <v>0.60503200000000001</v>
      </c>
      <c r="AC12" s="1">
        <v>11</v>
      </c>
      <c r="AD12" s="1"/>
      <c r="AE12" s="3"/>
    </row>
    <row r="13" spans="1:40" x14ac:dyDescent="0.2">
      <c r="A13" s="1">
        <v>12</v>
      </c>
      <c r="B13" s="1">
        <v>5.5304150000000003E-2</v>
      </c>
      <c r="C13" s="3">
        <v>39.211069999999999</v>
      </c>
      <c r="O13" s="1">
        <v>12</v>
      </c>
      <c r="P13" s="1">
        <v>5.5304150000000003E-2</v>
      </c>
      <c r="Q13" s="3">
        <v>39.211069999999999</v>
      </c>
      <c r="AC13" s="1">
        <v>12</v>
      </c>
      <c r="AD13" s="1"/>
      <c r="AE13" s="3"/>
    </row>
    <row r="18" spans="1:38" x14ac:dyDescent="0.2">
      <c r="A18" s="1" t="s">
        <v>0</v>
      </c>
      <c r="B18" s="1" t="s">
        <v>1</v>
      </c>
      <c r="C18" s="2" t="s">
        <v>2</v>
      </c>
      <c r="E18" t="s">
        <v>5</v>
      </c>
      <c r="O18" s="1" t="s">
        <v>0</v>
      </c>
      <c r="P18" s="1" t="s">
        <v>1</v>
      </c>
      <c r="Q18" s="2" t="s">
        <v>2</v>
      </c>
      <c r="S18" t="s">
        <v>5</v>
      </c>
      <c r="AC18" s="1" t="s">
        <v>0</v>
      </c>
      <c r="AD18" s="1" t="s">
        <v>1</v>
      </c>
      <c r="AE18" s="2" t="s">
        <v>2</v>
      </c>
      <c r="AG18" t="s">
        <v>5</v>
      </c>
    </row>
    <row r="19" spans="1:38" ht="17" thickBot="1" x14ac:dyDescent="0.25">
      <c r="A19" s="1">
        <v>1</v>
      </c>
      <c r="B19" s="1">
        <v>-8.9864000000000003E-3</v>
      </c>
      <c r="C19" s="3">
        <v>15.58724</v>
      </c>
      <c r="O19" s="1">
        <v>3</v>
      </c>
      <c r="P19" s="1">
        <v>1.909891E-2</v>
      </c>
      <c r="Q19" s="3">
        <v>28.346050000000002</v>
      </c>
      <c r="AC19" s="1">
        <v>1</v>
      </c>
      <c r="AD19" s="1">
        <v>-8.9864000000000003E-3</v>
      </c>
      <c r="AE19" s="3">
        <v>15.58724</v>
      </c>
    </row>
    <row r="20" spans="1:38" x14ac:dyDescent="0.2">
      <c r="A20" s="1">
        <v>2</v>
      </c>
      <c r="B20" s="1">
        <v>-7.0763999999999994E-2</v>
      </c>
      <c r="C20" s="3">
        <v>0.52957699999999996</v>
      </c>
      <c r="E20" s="6" t="s">
        <v>6</v>
      </c>
      <c r="F20" s="6"/>
      <c r="O20" s="1">
        <v>4</v>
      </c>
      <c r="P20" s="1">
        <v>3.064716E-2</v>
      </c>
      <c r="Q20" s="3">
        <v>3.186801</v>
      </c>
      <c r="S20" s="6" t="s">
        <v>6</v>
      </c>
      <c r="T20" s="6"/>
      <c r="AC20" s="1">
        <v>2</v>
      </c>
      <c r="AD20" s="1">
        <v>-7.0763999999999994E-2</v>
      </c>
      <c r="AE20" s="3">
        <v>0.52957699999999996</v>
      </c>
      <c r="AG20" s="6" t="s">
        <v>6</v>
      </c>
      <c r="AH20" s="6"/>
    </row>
    <row r="21" spans="1:38" x14ac:dyDescent="0.2">
      <c r="A21" s="1">
        <v>3</v>
      </c>
      <c r="B21" s="1">
        <v>1.909891E-2</v>
      </c>
      <c r="C21" s="3">
        <v>28.346050000000002</v>
      </c>
      <c r="E21" t="s">
        <v>7</v>
      </c>
      <c r="F21">
        <v>0.59436329575376323</v>
      </c>
      <c r="O21" s="1">
        <v>7</v>
      </c>
      <c r="P21" s="1">
        <v>5.5768249999999998E-2</v>
      </c>
      <c r="Q21" s="3">
        <v>33.591459999999998</v>
      </c>
      <c r="S21" t="s">
        <v>7</v>
      </c>
      <c r="T21">
        <v>0.49243635502324729</v>
      </c>
      <c r="AC21" s="1">
        <v>5</v>
      </c>
      <c r="AD21" s="1">
        <v>-1.3616899999999999E-2</v>
      </c>
      <c r="AE21" s="3">
        <v>13.104430000000001</v>
      </c>
      <c r="AG21" t="s">
        <v>7</v>
      </c>
      <c r="AH21">
        <v>0.71377141225435903</v>
      </c>
    </row>
    <row r="22" spans="1:38" x14ac:dyDescent="0.2">
      <c r="A22" s="1">
        <v>4</v>
      </c>
      <c r="B22" s="1">
        <v>3.064716E-2</v>
      </c>
      <c r="C22" s="3">
        <v>3.186801</v>
      </c>
      <c r="E22" t="s">
        <v>8</v>
      </c>
      <c r="F22">
        <v>0.35326772733927542</v>
      </c>
      <c r="O22" s="1">
        <v>8</v>
      </c>
      <c r="P22" s="1">
        <v>1.93241E-2</v>
      </c>
      <c r="Q22" s="3">
        <v>19.313939999999999</v>
      </c>
      <c r="S22" t="s">
        <v>8</v>
      </c>
      <c r="T22">
        <v>0.24249356374858166</v>
      </c>
      <c r="AC22" s="1">
        <v>6</v>
      </c>
      <c r="AD22" s="1">
        <v>8.6388100000000002E-3</v>
      </c>
      <c r="AE22" s="3">
        <v>8.7025860000000002</v>
      </c>
      <c r="AG22" t="s">
        <v>8</v>
      </c>
      <c r="AH22">
        <v>0.50946962895158221</v>
      </c>
    </row>
    <row r="23" spans="1:38" x14ac:dyDescent="0.2">
      <c r="A23" s="1">
        <v>5</v>
      </c>
      <c r="B23" s="1">
        <v>-1.3616899999999999E-2</v>
      </c>
      <c r="C23" s="3">
        <v>13.104430000000001</v>
      </c>
      <c r="E23" t="s">
        <v>9</v>
      </c>
      <c r="F23">
        <v>0.28140858593252827</v>
      </c>
      <c r="O23" s="1">
        <v>11</v>
      </c>
      <c r="P23" s="1">
        <v>3.3507639999999998E-2</v>
      </c>
      <c r="Q23" s="3">
        <v>0.60503200000000001</v>
      </c>
      <c r="S23" t="s">
        <v>9</v>
      </c>
      <c r="T23">
        <v>5.311695468572708E-2</v>
      </c>
      <c r="AC23" s="1">
        <v>10</v>
      </c>
      <c r="AD23" s="1">
        <v>-7.7793000000000003E-3</v>
      </c>
      <c r="AE23" s="3">
        <v>7.6024139999999996</v>
      </c>
      <c r="AG23" t="s">
        <v>9</v>
      </c>
      <c r="AH23">
        <v>0.34595950526877628</v>
      </c>
    </row>
    <row r="24" spans="1:38" x14ac:dyDescent="0.2">
      <c r="A24" s="1">
        <v>6</v>
      </c>
      <c r="B24" s="1">
        <v>8.6388100000000002E-3</v>
      </c>
      <c r="C24" s="3">
        <v>8.7025860000000002</v>
      </c>
      <c r="E24" t="s">
        <v>10</v>
      </c>
      <c r="F24">
        <v>3.0615359356089718E-2</v>
      </c>
      <c r="O24" s="1">
        <v>12</v>
      </c>
      <c r="P24" s="1">
        <v>5.5304150000000003E-2</v>
      </c>
      <c r="Q24" s="3">
        <v>39.211069999999999</v>
      </c>
      <c r="S24" t="s">
        <v>10</v>
      </c>
      <c r="T24">
        <v>1.6054985739418808E-2</v>
      </c>
      <c r="AG24" t="s">
        <v>10</v>
      </c>
      <c r="AH24">
        <v>2.4587607701454097E-2</v>
      </c>
    </row>
    <row r="25" spans="1:38" ht="17" thickBot="1" x14ac:dyDescent="0.25">
      <c r="A25" s="1">
        <v>7</v>
      </c>
      <c r="B25" s="1">
        <v>5.5768249999999998E-2</v>
      </c>
      <c r="C25" s="3">
        <v>33.591459999999998</v>
      </c>
      <c r="E25" s="4" t="s">
        <v>11</v>
      </c>
      <c r="F25" s="4">
        <v>11</v>
      </c>
      <c r="S25" s="4" t="s">
        <v>11</v>
      </c>
      <c r="T25" s="4">
        <v>6</v>
      </c>
      <c r="AC25" s="1"/>
      <c r="AD25" s="1"/>
      <c r="AE25" s="3"/>
      <c r="AG25" s="4" t="s">
        <v>11</v>
      </c>
      <c r="AH25" s="4">
        <v>5</v>
      </c>
    </row>
    <row r="26" spans="1:38" x14ac:dyDescent="0.2">
      <c r="A26" s="1">
        <v>8</v>
      </c>
      <c r="B26" s="1">
        <v>1.93241E-2</v>
      </c>
      <c r="C26" s="3">
        <v>19.313939999999999</v>
      </c>
      <c r="AC26" s="1"/>
      <c r="AD26" s="1"/>
      <c r="AE26" s="3"/>
    </row>
    <row r="27" spans="1:38" ht="17" thickBot="1" x14ac:dyDescent="0.25">
      <c r="A27" s="1">
        <v>10</v>
      </c>
      <c r="B27" s="1">
        <v>-7.7793000000000003E-3</v>
      </c>
      <c r="C27" s="3">
        <v>7.6024139999999996</v>
      </c>
      <c r="E27" t="s">
        <v>12</v>
      </c>
      <c r="O27" s="1"/>
      <c r="P27" s="1"/>
      <c r="S27" t="s">
        <v>12</v>
      </c>
      <c r="AC27" s="1"/>
      <c r="AD27" s="1"/>
      <c r="AG27" t="s">
        <v>12</v>
      </c>
    </row>
    <row r="28" spans="1:38" x14ac:dyDescent="0.2">
      <c r="A28" s="1">
        <v>11</v>
      </c>
      <c r="B28" s="1">
        <v>3.3507639999999998E-2</v>
      </c>
      <c r="C28" s="3">
        <v>0.60503200000000001</v>
      </c>
      <c r="E28" s="5"/>
      <c r="F28" s="5" t="s">
        <v>17</v>
      </c>
      <c r="G28" s="5" t="s">
        <v>18</v>
      </c>
      <c r="H28" s="5" t="s">
        <v>19</v>
      </c>
      <c r="I28" s="5" t="s">
        <v>20</v>
      </c>
      <c r="J28" s="5" t="s">
        <v>21</v>
      </c>
      <c r="O28" s="1"/>
      <c r="P28" s="1"/>
      <c r="Q28" s="3"/>
      <c r="S28" s="5"/>
      <c r="T28" s="5" t="s">
        <v>17</v>
      </c>
      <c r="U28" s="5" t="s">
        <v>18</v>
      </c>
      <c r="V28" s="5" t="s">
        <v>19</v>
      </c>
      <c r="W28" s="5" t="s">
        <v>20</v>
      </c>
      <c r="X28" s="5" t="s">
        <v>21</v>
      </c>
      <c r="AG28" s="5"/>
      <c r="AH28" s="5" t="s">
        <v>17</v>
      </c>
      <c r="AI28" s="5" t="s">
        <v>18</v>
      </c>
      <c r="AJ28" s="5" t="s">
        <v>19</v>
      </c>
      <c r="AK28" s="5" t="s">
        <v>20</v>
      </c>
      <c r="AL28" s="5" t="s">
        <v>21</v>
      </c>
    </row>
    <row r="29" spans="1:38" x14ac:dyDescent="0.2">
      <c r="A29" s="1">
        <v>12</v>
      </c>
      <c r="B29" s="1">
        <v>5.5304150000000003E-2</v>
      </c>
      <c r="C29" s="3">
        <v>39.211069999999999</v>
      </c>
      <c r="E29" t="s">
        <v>13</v>
      </c>
      <c r="F29">
        <v>1</v>
      </c>
      <c r="G29">
        <v>4.6078747265212265E-3</v>
      </c>
      <c r="H29">
        <v>4.6078747265212265E-3</v>
      </c>
      <c r="I29">
        <v>4.9161139476974816</v>
      </c>
      <c r="J29" s="7">
        <v>5.380663339245028E-2</v>
      </c>
      <c r="S29" t="s">
        <v>13</v>
      </c>
      <c r="T29">
        <v>1</v>
      </c>
      <c r="U29">
        <v>3.3006063317251818E-4</v>
      </c>
      <c r="V29">
        <v>3.3006063317251818E-4</v>
      </c>
      <c r="W29">
        <v>1.2804831861156487</v>
      </c>
      <c r="X29" s="7">
        <v>0.32105179078960383</v>
      </c>
      <c r="AC29" s="1"/>
      <c r="AD29" s="1"/>
      <c r="AE29" s="3"/>
      <c r="AG29" t="s">
        <v>13</v>
      </c>
      <c r="AH29">
        <v>1</v>
      </c>
      <c r="AI29">
        <v>1.883675993697465E-3</v>
      </c>
      <c r="AJ29">
        <v>1.883675993697465E-3</v>
      </c>
      <c r="AK29">
        <v>3.1158292677944806</v>
      </c>
      <c r="AL29" s="7">
        <v>0.17571829360851857</v>
      </c>
    </row>
    <row r="30" spans="1:38" x14ac:dyDescent="0.2">
      <c r="E30" t="s">
        <v>14</v>
      </c>
      <c r="F30">
        <v>9</v>
      </c>
      <c r="G30">
        <v>8.4357020565225919E-3</v>
      </c>
      <c r="H30">
        <v>9.3730022850251017E-4</v>
      </c>
      <c r="S30" t="s">
        <v>14</v>
      </c>
      <c r="T30">
        <v>4</v>
      </c>
      <c r="U30">
        <v>1.0310502683717653E-3</v>
      </c>
      <c r="V30">
        <v>2.5776256709294132E-4</v>
      </c>
      <c r="AC30" s="1"/>
      <c r="AD30" s="1"/>
      <c r="AE30" s="3"/>
      <c r="AG30" t="s">
        <v>14</v>
      </c>
      <c r="AH30">
        <v>3</v>
      </c>
      <c r="AI30">
        <v>1.8136513574418148E-3</v>
      </c>
      <c r="AJ30">
        <v>6.0455045248060488E-4</v>
      </c>
    </row>
    <row r="31" spans="1:38" ht="17" thickBot="1" x14ac:dyDescent="0.25">
      <c r="E31" s="4" t="s">
        <v>15</v>
      </c>
      <c r="F31" s="4">
        <v>10</v>
      </c>
      <c r="G31" s="4">
        <v>1.3043576783043818E-2</v>
      </c>
      <c r="H31" s="4"/>
      <c r="I31" s="4"/>
      <c r="J31" s="4"/>
      <c r="S31" s="4" t="s">
        <v>15</v>
      </c>
      <c r="T31" s="4">
        <v>5</v>
      </c>
      <c r="U31" s="4">
        <v>1.3611109015442835E-3</v>
      </c>
      <c r="V31" s="4"/>
      <c r="W31" s="4"/>
      <c r="X31" s="4"/>
      <c r="AG31" s="4" t="s">
        <v>15</v>
      </c>
      <c r="AH31" s="4">
        <v>4</v>
      </c>
      <c r="AI31" s="4">
        <v>3.6973273511392798E-3</v>
      </c>
      <c r="AJ31" s="4"/>
      <c r="AK31" s="4"/>
      <c r="AL31" s="4"/>
    </row>
    <row r="32" spans="1:38" ht="17" thickBot="1" x14ac:dyDescent="0.25"/>
    <row r="33" spans="1:41" x14ac:dyDescent="0.2">
      <c r="E33" s="5"/>
      <c r="F33" s="5" t="s">
        <v>22</v>
      </c>
      <c r="G33" s="5" t="s">
        <v>10</v>
      </c>
      <c r="H33" s="5" t="s">
        <v>23</v>
      </c>
      <c r="I33" s="5" t="s">
        <v>24</v>
      </c>
      <c r="J33" s="5" t="s">
        <v>25</v>
      </c>
      <c r="K33" s="5" t="s">
        <v>26</v>
      </c>
      <c r="L33" s="5" t="s">
        <v>27</v>
      </c>
      <c r="M33" s="5" t="s">
        <v>28</v>
      </c>
      <c r="S33" s="5"/>
      <c r="T33" s="5" t="s">
        <v>22</v>
      </c>
      <c r="U33" s="5" t="s">
        <v>10</v>
      </c>
      <c r="V33" s="5" t="s">
        <v>23</v>
      </c>
      <c r="W33" s="5" t="s">
        <v>24</v>
      </c>
      <c r="X33" s="5" t="s">
        <v>25</v>
      </c>
      <c r="Y33" s="5" t="s">
        <v>26</v>
      </c>
      <c r="Z33" s="5" t="s">
        <v>27</v>
      </c>
      <c r="AA33" s="5" t="s">
        <v>28</v>
      </c>
      <c r="AG33" s="5"/>
      <c r="AH33" s="5" t="s">
        <v>22</v>
      </c>
      <c r="AI33" s="5" t="s">
        <v>10</v>
      </c>
      <c r="AJ33" s="5" t="s">
        <v>23</v>
      </c>
      <c r="AK33" s="5" t="s">
        <v>24</v>
      </c>
      <c r="AL33" s="5" t="s">
        <v>25</v>
      </c>
      <c r="AM33" s="5" t="s">
        <v>26</v>
      </c>
      <c r="AN33" s="5" t="s">
        <v>27</v>
      </c>
      <c r="AO33" s="5" t="s">
        <v>28</v>
      </c>
    </row>
    <row r="34" spans="1:41" x14ac:dyDescent="0.2">
      <c r="E34" t="s">
        <v>16</v>
      </c>
      <c r="F34">
        <v>-1.3813819279383233E-2</v>
      </c>
      <c r="G34">
        <v>1.4511590468943231E-2</v>
      </c>
      <c r="H34">
        <v>-0.9519162843622605</v>
      </c>
      <c r="I34" s="7">
        <v>0.3660025689815003</v>
      </c>
      <c r="J34">
        <v>-4.6641317602297332E-2</v>
      </c>
      <c r="K34">
        <v>1.9013679043530865E-2</v>
      </c>
      <c r="L34">
        <v>-4.6641317602297332E-2</v>
      </c>
      <c r="M34">
        <v>1.9013679043530865E-2</v>
      </c>
      <c r="S34" t="s">
        <v>16</v>
      </c>
      <c r="T34">
        <v>2.5091309491970859E-2</v>
      </c>
      <c r="U34">
        <v>1.1372806675756757E-2</v>
      </c>
      <c r="V34">
        <v>2.2062548153093671</v>
      </c>
      <c r="W34" s="7">
        <v>9.200908470892552E-2</v>
      </c>
      <c r="X34">
        <v>-6.4846639352947773E-3</v>
      </c>
      <c r="Y34">
        <v>5.6667282919236499E-2</v>
      </c>
      <c r="Z34">
        <v>-6.4846639352947773E-3</v>
      </c>
      <c r="AA34">
        <v>5.6667282919236499E-2</v>
      </c>
      <c r="AG34" t="s">
        <v>16</v>
      </c>
      <c r="AH34">
        <v>-5.2643418750208469E-2</v>
      </c>
      <c r="AI34">
        <v>2.2249074134465818E-2</v>
      </c>
      <c r="AJ34">
        <v>-2.366094806105171</v>
      </c>
      <c r="AK34" s="7">
        <v>9.8852692995067742E-2</v>
      </c>
      <c r="AL34">
        <v>-0.12344990252542255</v>
      </c>
      <c r="AM34">
        <v>1.8163065025005611E-2</v>
      </c>
      <c r="AN34">
        <v>-0.12344990252542255</v>
      </c>
      <c r="AO34">
        <v>1.8163065025005611E-2</v>
      </c>
    </row>
    <row r="35" spans="1:41" ht="17" thickBot="1" x14ac:dyDescent="0.25">
      <c r="E35" s="4" t="s">
        <v>2</v>
      </c>
      <c r="F35" s="4">
        <v>1.6085137646657836E-3</v>
      </c>
      <c r="G35" s="4">
        <v>7.2546056766717329E-4</v>
      </c>
      <c r="H35" s="4">
        <v>2.2172311444000323</v>
      </c>
      <c r="I35" s="8">
        <v>5.3806633392450377E-2</v>
      </c>
      <c r="J35" s="4">
        <v>-3.2592054810164581E-5</v>
      </c>
      <c r="K35" s="4">
        <v>3.249619584141732E-3</v>
      </c>
      <c r="L35" s="4">
        <v>-3.2592054810164581E-5</v>
      </c>
      <c r="M35" s="4">
        <v>3.249619584141732E-3</v>
      </c>
      <c r="S35" s="4" t="s">
        <v>2</v>
      </c>
      <c r="T35" s="4">
        <v>5.0784822844938732E-4</v>
      </c>
      <c r="U35" s="4">
        <v>4.4879395825464313E-4</v>
      </c>
      <c r="V35" s="4">
        <v>1.1315843698618535</v>
      </c>
      <c r="W35" s="8">
        <v>0.32105179078960377</v>
      </c>
      <c r="X35" s="4">
        <v>-7.3820356018905941E-4</v>
      </c>
      <c r="Y35" s="4">
        <v>1.753900017087834E-3</v>
      </c>
      <c r="Z35" s="4">
        <v>-7.3820356018905941E-4</v>
      </c>
      <c r="AA35" s="4">
        <v>1.753900017087834E-3</v>
      </c>
      <c r="AG35" s="4" t="s">
        <v>2</v>
      </c>
      <c r="AH35" s="4">
        <v>3.7496897943518678E-3</v>
      </c>
      <c r="AI35" s="4">
        <v>2.1242641240850719E-3</v>
      </c>
      <c r="AJ35" s="4">
        <v>1.7651711723780452</v>
      </c>
      <c r="AK35" s="8">
        <v>0.17571829360851851</v>
      </c>
      <c r="AL35" s="4">
        <v>-3.0106667187894038E-3</v>
      </c>
      <c r="AM35" s="4">
        <v>1.0510046307493139E-2</v>
      </c>
      <c r="AN35" s="4">
        <v>-3.0106667187894038E-3</v>
      </c>
      <c r="AO35" s="4">
        <v>1.0510046307493139E-2</v>
      </c>
    </row>
    <row r="39" spans="1:41" x14ac:dyDescent="0.2">
      <c r="A39" s="1" t="s">
        <v>0</v>
      </c>
      <c r="B39" s="1" t="s">
        <v>1</v>
      </c>
      <c r="C39" s="1" t="s">
        <v>29</v>
      </c>
      <c r="D39" s="2" t="s">
        <v>2</v>
      </c>
      <c r="E39" s="2" t="s">
        <v>30</v>
      </c>
      <c r="O39" s="1" t="s">
        <v>0</v>
      </c>
      <c r="P39" s="1" t="s">
        <v>1</v>
      </c>
      <c r="Q39" s="1" t="s">
        <v>29</v>
      </c>
      <c r="R39" s="2" t="s">
        <v>2</v>
      </c>
      <c r="S39" s="2" t="s">
        <v>30</v>
      </c>
      <c r="AC39" s="1" t="s">
        <v>0</v>
      </c>
      <c r="AD39" s="1" t="s">
        <v>1</v>
      </c>
      <c r="AE39" s="1" t="s">
        <v>29</v>
      </c>
      <c r="AF39" s="2" t="s">
        <v>2</v>
      </c>
      <c r="AG39" s="2" t="s">
        <v>30</v>
      </c>
    </row>
    <row r="40" spans="1:41" x14ac:dyDescent="0.2">
      <c r="A40" s="1">
        <v>1</v>
      </c>
      <c r="B40" s="1">
        <v>-8.9864000000000003E-3</v>
      </c>
      <c r="C40">
        <f t="shared" ref="C40:C50" si="0">_xlfn.RANK.AVG(B40,B$40:B$50,1)</f>
        <v>3</v>
      </c>
      <c r="D40" s="3">
        <v>15.58724</v>
      </c>
      <c r="E40">
        <f t="shared" ref="E40:E50" si="1">_xlfn.RANK.AVG(D40,D$40:D$50,1)</f>
        <v>7</v>
      </c>
      <c r="O40" s="1">
        <v>3</v>
      </c>
      <c r="P40" s="1">
        <v>1.909891E-2</v>
      </c>
      <c r="Q40">
        <f t="shared" ref="Q40:Q45" si="2">_xlfn.RANK.AVG(P40, P$40:P$45, 1)</f>
        <v>1</v>
      </c>
      <c r="R40" s="3">
        <v>28.346050000000002</v>
      </c>
      <c r="S40">
        <f t="shared" ref="S40:S45" si="3">_xlfn.RANK.AVG(R40, R$40:R$45, 1)</f>
        <v>4</v>
      </c>
      <c r="AC40" s="1">
        <v>1</v>
      </c>
      <c r="AD40" s="1">
        <v>-8.9864000000000003E-3</v>
      </c>
      <c r="AE40">
        <f>_xlfn.RANK.AVG(AD40, AD$40:AD$44, 1)</f>
        <v>3</v>
      </c>
      <c r="AF40" s="3">
        <v>15.58724</v>
      </c>
      <c r="AG40">
        <f>_xlfn.RANK.AVG(AF40, AF$40:AF$44, 1)</f>
        <v>5</v>
      </c>
    </row>
    <row r="41" spans="1:41" x14ac:dyDescent="0.2">
      <c r="A41" s="1">
        <v>2</v>
      </c>
      <c r="B41" s="1">
        <v>-7.0763999999999994E-2</v>
      </c>
      <c r="C41">
        <f t="shared" si="0"/>
        <v>1</v>
      </c>
      <c r="D41" s="3">
        <v>0.52957699999999996</v>
      </c>
      <c r="E41">
        <f t="shared" si="1"/>
        <v>1</v>
      </c>
      <c r="G41" t="s">
        <v>31</v>
      </c>
      <c r="H41">
        <f>CORREL(C40:C50,E40:E50)</f>
        <v>0.46363636363636357</v>
      </c>
      <c r="O41" s="1">
        <v>4</v>
      </c>
      <c r="P41" s="1">
        <v>3.064716E-2</v>
      </c>
      <c r="Q41">
        <f t="shared" si="2"/>
        <v>3</v>
      </c>
      <c r="R41" s="3">
        <v>3.186801</v>
      </c>
      <c r="S41">
        <f t="shared" si="3"/>
        <v>2</v>
      </c>
      <c r="U41" t="s">
        <v>31</v>
      </c>
      <c r="V41">
        <f>CORREL(Q40:Q45,S40:S45)</f>
        <v>0.37142857142857144</v>
      </c>
      <c r="AC41" s="1">
        <v>2</v>
      </c>
      <c r="AD41" s="1">
        <v>-7.0763999999999994E-2</v>
      </c>
      <c r="AE41">
        <f>_xlfn.RANK.AVG(AD41, AD$40:AD$44, 1)</f>
        <v>1</v>
      </c>
      <c r="AF41" s="3">
        <v>0.52957699999999996</v>
      </c>
      <c r="AG41">
        <f>_xlfn.RANK.AVG(AF41, AF$40:AF$44, 1)</f>
        <v>1</v>
      </c>
      <c r="AI41" t="s">
        <v>31</v>
      </c>
      <c r="AJ41">
        <f>CORREL(AE40:AE44,AG40:AG44)</f>
        <v>0.19999999999999996</v>
      </c>
    </row>
    <row r="42" spans="1:41" x14ac:dyDescent="0.2">
      <c r="A42" s="1">
        <v>3</v>
      </c>
      <c r="B42" s="1">
        <v>1.909891E-2</v>
      </c>
      <c r="C42">
        <f t="shared" si="0"/>
        <v>6</v>
      </c>
      <c r="D42" s="3">
        <v>28.346050000000002</v>
      </c>
      <c r="E42">
        <f t="shared" si="1"/>
        <v>9</v>
      </c>
      <c r="O42" s="1">
        <v>7</v>
      </c>
      <c r="P42" s="1">
        <v>5.5768249999999998E-2</v>
      </c>
      <c r="Q42">
        <f t="shared" si="2"/>
        <v>6</v>
      </c>
      <c r="R42" s="3">
        <v>33.591459999999998</v>
      </c>
      <c r="S42">
        <f t="shared" si="3"/>
        <v>5</v>
      </c>
      <c r="AC42" s="1">
        <v>5</v>
      </c>
      <c r="AD42" s="1">
        <v>-1.3616899999999999E-2</v>
      </c>
      <c r="AE42">
        <f>_xlfn.RANK.AVG(AD42, AD$40:AD$44, 1)</f>
        <v>2</v>
      </c>
      <c r="AF42" s="3">
        <v>13.104430000000001</v>
      </c>
      <c r="AG42">
        <f>_xlfn.RANK.AVG(AF42, AF$40:AF$44, 1)</f>
        <v>4</v>
      </c>
    </row>
    <row r="43" spans="1:41" x14ac:dyDescent="0.2">
      <c r="A43" s="1">
        <v>4</v>
      </c>
      <c r="B43" s="1">
        <v>3.064716E-2</v>
      </c>
      <c r="C43">
        <f t="shared" si="0"/>
        <v>8</v>
      </c>
      <c r="D43" s="3">
        <v>3.186801</v>
      </c>
      <c r="E43">
        <f t="shared" si="1"/>
        <v>3</v>
      </c>
      <c r="O43" s="1">
        <v>8</v>
      </c>
      <c r="P43" s="1">
        <v>1.93241E-2</v>
      </c>
      <c r="Q43">
        <f t="shared" si="2"/>
        <v>2</v>
      </c>
      <c r="R43" s="3">
        <v>19.313939999999999</v>
      </c>
      <c r="S43">
        <f t="shared" si="3"/>
        <v>3</v>
      </c>
      <c r="AC43" s="1">
        <v>6</v>
      </c>
      <c r="AD43" s="1">
        <v>8.6388100000000002E-3</v>
      </c>
      <c r="AE43">
        <f>_xlfn.RANK.AVG(AD43, AD$40:AD$44, 1)</f>
        <v>5</v>
      </c>
      <c r="AF43" s="3">
        <v>8.7025860000000002</v>
      </c>
      <c r="AG43">
        <f>_xlfn.RANK.AVG(AF43, AF$40:AF$44, 1)</f>
        <v>3</v>
      </c>
    </row>
    <row r="44" spans="1:41" x14ac:dyDescent="0.2">
      <c r="A44" s="1">
        <v>5</v>
      </c>
      <c r="B44" s="1">
        <v>-1.3616899999999999E-2</v>
      </c>
      <c r="C44">
        <f t="shared" si="0"/>
        <v>2</v>
      </c>
      <c r="D44" s="3">
        <v>13.104430000000001</v>
      </c>
      <c r="E44">
        <f t="shared" si="1"/>
        <v>6</v>
      </c>
      <c r="O44" s="1">
        <v>11</v>
      </c>
      <c r="P44" s="1">
        <v>3.3507639999999998E-2</v>
      </c>
      <c r="Q44">
        <f t="shared" si="2"/>
        <v>4</v>
      </c>
      <c r="R44" s="3">
        <v>0.60503200000000001</v>
      </c>
      <c r="S44">
        <f t="shared" si="3"/>
        <v>1</v>
      </c>
      <c r="AC44" s="1">
        <v>10</v>
      </c>
      <c r="AD44" s="1">
        <v>-7.7793000000000003E-3</v>
      </c>
      <c r="AE44">
        <f>_xlfn.RANK.AVG(AD44, AD$40:AD$44, 1)</f>
        <v>4</v>
      </c>
      <c r="AF44" s="3">
        <v>7.6024139999999996</v>
      </c>
      <c r="AG44">
        <f>_xlfn.RANK.AVG(AF44, AF$40:AF$44, 1)</f>
        <v>2</v>
      </c>
    </row>
    <row r="45" spans="1:41" x14ac:dyDescent="0.2">
      <c r="A45" s="1">
        <v>6</v>
      </c>
      <c r="B45" s="1">
        <v>8.6388100000000002E-3</v>
      </c>
      <c r="C45">
        <f t="shared" si="0"/>
        <v>5</v>
      </c>
      <c r="D45" s="3">
        <v>8.7025860000000002</v>
      </c>
      <c r="E45">
        <f t="shared" si="1"/>
        <v>5</v>
      </c>
      <c r="O45" s="1">
        <v>12</v>
      </c>
      <c r="P45" s="1">
        <v>5.5304150000000003E-2</v>
      </c>
      <c r="Q45">
        <f t="shared" si="2"/>
        <v>5</v>
      </c>
      <c r="R45" s="3">
        <v>39.211069999999999</v>
      </c>
      <c r="S45">
        <f t="shared" si="3"/>
        <v>6</v>
      </c>
    </row>
    <row r="46" spans="1:41" x14ac:dyDescent="0.2">
      <c r="A46" s="1">
        <v>7</v>
      </c>
      <c r="B46" s="1">
        <v>5.5768249999999998E-2</v>
      </c>
      <c r="C46">
        <f t="shared" si="0"/>
        <v>11</v>
      </c>
      <c r="D46" s="3">
        <v>33.591459999999998</v>
      </c>
      <c r="E46">
        <f t="shared" si="1"/>
        <v>10</v>
      </c>
    </row>
    <row r="47" spans="1:41" x14ac:dyDescent="0.2">
      <c r="A47" s="1">
        <v>8</v>
      </c>
      <c r="B47" s="1">
        <v>1.93241E-2</v>
      </c>
      <c r="C47">
        <f t="shared" si="0"/>
        <v>7</v>
      </c>
      <c r="D47" s="3">
        <v>19.313939999999999</v>
      </c>
      <c r="E47">
        <f t="shared" si="1"/>
        <v>8</v>
      </c>
    </row>
    <row r="48" spans="1:41" x14ac:dyDescent="0.2">
      <c r="A48" s="1">
        <v>10</v>
      </c>
      <c r="B48" s="1">
        <v>-7.7793000000000003E-3</v>
      </c>
      <c r="C48">
        <f t="shared" si="0"/>
        <v>4</v>
      </c>
      <c r="D48" s="3">
        <v>7.6024139999999996</v>
      </c>
      <c r="E48">
        <f t="shared" si="1"/>
        <v>4</v>
      </c>
    </row>
    <row r="49" spans="1:5" x14ac:dyDescent="0.2">
      <c r="A49" s="1">
        <v>11</v>
      </c>
      <c r="B49" s="1">
        <v>3.3507639999999998E-2</v>
      </c>
      <c r="C49">
        <f t="shared" si="0"/>
        <v>9</v>
      </c>
      <c r="D49" s="3">
        <v>0.60503200000000001</v>
      </c>
      <c r="E49">
        <f t="shared" si="1"/>
        <v>2</v>
      </c>
    </row>
    <row r="50" spans="1:5" x14ac:dyDescent="0.2">
      <c r="A50" s="1">
        <v>12</v>
      </c>
      <c r="B50" s="1">
        <v>5.5304150000000003E-2</v>
      </c>
      <c r="C50">
        <f t="shared" si="0"/>
        <v>10</v>
      </c>
      <c r="D50" s="3">
        <v>39.211069999999999</v>
      </c>
      <c r="E50">
        <f t="shared" si="1"/>
        <v>11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C8D6-DB9E-F64E-B80F-E59806F35A9F}">
  <dimension ref="A1:E13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2" t="s">
        <v>2</v>
      </c>
    </row>
    <row r="2" spans="1:5" x14ac:dyDescent="0.2">
      <c r="A2" s="1">
        <v>1</v>
      </c>
      <c r="B2" s="1">
        <v>-8.9864000000000003E-3</v>
      </c>
      <c r="C2" s="3">
        <v>15.58724</v>
      </c>
    </row>
    <row r="3" spans="1:5" x14ac:dyDescent="0.2">
      <c r="A3" s="1">
        <v>2</v>
      </c>
      <c r="B3" s="1">
        <v>-7.0763999999999994E-2</v>
      </c>
      <c r="C3" s="3">
        <v>0.52957699999999996</v>
      </c>
    </row>
    <row r="4" spans="1:5" x14ac:dyDescent="0.2">
      <c r="A4" s="1">
        <v>3</v>
      </c>
      <c r="B4" s="1">
        <v>1.909891E-2</v>
      </c>
      <c r="C4" s="3">
        <v>28.346050000000002</v>
      </c>
    </row>
    <row r="5" spans="1:5" x14ac:dyDescent="0.2">
      <c r="A5" s="1">
        <v>4</v>
      </c>
      <c r="B5" s="1">
        <v>3.064716E-2</v>
      </c>
      <c r="C5" s="3">
        <v>3.186801</v>
      </c>
    </row>
    <row r="6" spans="1:5" x14ac:dyDescent="0.2">
      <c r="A6" s="1">
        <v>5</v>
      </c>
      <c r="B6" s="1">
        <v>-1.3616899999999999E-2</v>
      </c>
      <c r="C6" s="3">
        <v>13.104430000000001</v>
      </c>
    </row>
    <row r="7" spans="1:5" x14ac:dyDescent="0.2">
      <c r="A7" s="1">
        <v>6</v>
      </c>
      <c r="B7" s="1">
        <v>8.6388100000000002E-3</v>
      </c>
      <c r="C7" s="3">
        <v>8.7025860000000002</v>
      </c>
    </row>
    <row r="8" spans="1:5" x14ac:dyDescent="0.2">
      <c r="A8" s="1">
        <v>7</v>
      </c>
      <c r="B8" s="1">
        <v>5.5768249999999998E-2</v>
      </c>
      <c r="C8" s="3">
        <v>33.591459999999998</v>
      </c>
    </row>
    <row r="9" spans="1:5" x14ac:dyDescent="0.2">
      <c r="A9" s="1">
        <v>8</v>
      </c>
      <c r="B9" s="1">
        <v>1.93241E-2</v>
      </c>
      <c r="C9" s="3">
        <v>19.313939999999999</v>
      </c>
    </row>
    <row r="10" spans="1:5" x14ac:dyDescent="0.2">
      <c r="A10" s="1">
        <v>9</v>
      </c>
      <c r="D10" s="1">
        <v>-0.22066379999999999</v>
      </c>
      <c r="E10" t="s">
        <v>3</v>
      </c>
    </row>
    <row r="11" spans="1:5" x14ac:dyDescent="0.2">
      <c r="A11" s="1">
        <v>10</v>
      </c>
      <c r="B11" s="1">
        <v>-7.7793000000000003E-3</v>
      </c>
      <c r="C11" s="3">
        <v>7.6024139999999996</v>
      </c>
    </row>
    <row r="12" spans="1:5" x14ac:dyDescent="0.2">
      <c r="A12" s="1">
        <v>11</v>
      </c>
      <c r="B12" s="1">
        <v>3.3507639999999998E-2</v>
      </c>
      <c r="C12" s="3">
        <v>0.60503200000000001</v>
      </c>
    </row>
    <row r="13" spans="1:5" x14ac:dyDescent="0.2">
      <c r="A13" s="1">
        <v>12</v>
      </c>
      <c r="B13" s="1">
        <v>5.5304150000000003E-2</v>
      </c>
      <c r="C13" s="3">
        <v>39.211069999999999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2025-07-10T03:55:01Z</dcterms:created>
  <dcterms:modified xsi:type="dcterms:W3CDTF">2025-10-29T08:04:07Z</dcterms:modified>
</cp:coreProperties>
</file>