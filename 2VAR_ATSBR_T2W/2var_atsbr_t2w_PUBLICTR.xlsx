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2VAR_ATSBR_T2W/"/>
    </mc:Choice>
  </mc:AlternateContent>
  <xr:revisionPtr revIDLastSave="0" documentId="13_ncr:1_{AAB4EAC4-281E-0B48-9CC2-C6BECD2317D5}" xr6:coauthVersionLast="47" xr6:coauthVersionMax="47" xr10:uidLastSave="{00000000-0000-0000-0000-000000000000}"/>
  <bookViews>
    <workbookView xWindow="0" yWindow="640" windowWidth="25600" windowHeight="16000" xr2:uid="{50320A5D-4098-5A43-9B91-D26FAF5C6D92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0" i="1" l="1"/>
  <c r="W40" i="1"/>
  <c r="AI41" i="1"/>
  <c r="AI42" i="1"/>
  <c r="AI43" i="1"/>
  <c r="AI44" i="1"/>
  <c r="AI40" i="1"/>
  <c r="AG41" i="1"/>
  <c r="AG42" i="1"/>
  <c r="AG43" i="1"/>
  <c r="AG44" i="1"/>
  <c r="AG40" i="1"/>
  <c r="T41" i="1"/>
  <c r="T42" i="1"/>
  <c r="T43" i="1"/>
  <c r="T44" i="1"/>
  <c r="T40" i="1"/>
  <c r="R41" i="1"/>
  <c r="R42" i="1"/>
  <c r="R43" i="1"/>
  <c r="R44" i="1"/>
  <c r="R40" i="1"/>
  <c r="H40" i="1"/>
  <c r="E41" i="1"/>
  <c r="E42" i="1"/>
  <c r="E43" i="1"/>
  <c r="E44" i="1"/>
  <c r="E45" i="1"/>
  <c r="E46" i="1"/>
  <c r="E47" i="1"/>
  <c r="E48" i="1"/>
  <c r="E49" i="1"/>
  <c r="E40" i="1"/>
  <c r="C41" i="1"/>
  <c r="C42" i="1"/>
  <c r="C43" i="1"/>
  <c r="C44" i="1"/>
  <c r="C45" i="1"/>
  <c r="C46" i="1"/>
  <c r="C47" i="1"/>
  <c r="C48" i="1"/>
  <c r="C49" i="1"/>
  <c r="C40" i="1"/>
  <c r="AQ4" i="1"/>
  <c r="AB4" i="1"/>
  <c r="M4" i="1"/>
</calcChain>
</file>

<file path=xl/sharedStrings.xml><?xml version="1.0" encoding="utf-8"?>
<sst xmlns="http://schemas.openxmlformats.org/spreadsheetml/2006/main" count="125" uniqueCount="33">
  <si>
    <t>district_name</t>
  </si>
  <si>
    <t>speed_acr</t>
  </si>
  <si>
    <t>PUBLICTR_percent</t>
  </si>
  <si>
    <t>Outlier</t>
  </si>
  <si>
    <t>Missing Data</t>
  </si>
  <si>
    <t>r value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</si>
  <si>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</si>
  <si>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</si>
  <si>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</si>
  <si>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</si>
  <si>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</si>
  <si>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</si>
  <si>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</si>
  <si>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</si>
  <si>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</si>
  <si>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</si>
  <si>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</si>
  <si>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</si>
  <si>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</si>
  <si>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</si>
  <si>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</si>
  <si>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</si>
  <si>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</si>
  <si>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</si>
  <si>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</si>
  <si>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</si>
  <si>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</si>
  <si>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</si>
  <si>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</si>
  <si>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</si>
  <si>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speed_acr_rank</t>
  </si>
  <si>
    <t>PUBLICTR_percent_rank</t>
  </si>
  <si>
    <t>rho=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</si>
</sst>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9" fontId="0" fillId="0" borderId="0" xfId="1" applyFont="1" applyFill="1" applyBorder="1" applyAlignment="1"/>
    <xf numFmtId="9" fontId="0" fillId="0" borderId="1" xfId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ATSBR</a:t>
            </a:r>
            <a:r>
              <a:rPr lang="en-US" baseline="0"/>
              <a:t> PUBLICTR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9615217016791821E-2"/>
                  <c:y val="0.43048783902012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Regression!$C$2:$C$13</c:f>
              <c:numCache>
                <c:formatCode>General</c:formatCode>
                <c:ptCount val="12"/>
                <c:pt idx="0">
                  <c:v>2.1459359999999998</c:v>
                </c:pt>
                <c:pt idx="1">
                  <c:v>0.74672099999999997</c:v>
                </c:pt>
                <c:pt idx="2">
                  <c:v>2.266483</c:v>
                </c:pt>
                <c:pt idx="4">
                  <c:v>3.1496979999999999</c:v>
                </c:pt>
                <c:pt idx="5">
                  <c:v>1.3315170000000001</c:v>
                </c:pt>
                <c:pt idx="6">
                  <c:v>4.7154689999999997</c:v>
                </c:pt>
                <c:pt idx="7">
                  <c:v>1.595407</c:v>
                </c:pt>
                <c:pt idx="9">
                  <c:v>1.3538140000000001</c:v>
                </c:pt>
                <c:pt idx="10">
                  <c:v>3.1974629999999999</c:v>
                </c:pt>
                <c:pt idx="11">
                  <c:v>2.4929640000000002</c:v>
                </c:pt>
              </c:numCache>
            </c:numRef>
          </c:xVal>
          <c:yVal>
            <c:numRef>
              <c:f>Regression!$B$2:$B$13</c:f>
              <c:numCache>
                <c:formatCode>General</c:formatCode>
                <c:ptCount val="12"/>
                <c:pt idx="0">
                  <c:v>-8.9864090000000008E-3</c:v>
                </c:pt>
                <c:pt idx="1">
                  <c:v>-7.0764041999999999E-2</c:v>
                </c:pt>
                <c:pt idx="2">
                  <c:v>1.9098905999999999E-2</c:v>
                </c:pt>
                <c:pt idx="4">
                  <c:v>-1.361688E-2</c:v>
                </c:pt>
                <c:pt idx="5">
                  <c:v>8.6388139999999999E-3</c:v>
                </c:pt>
                <c:pt idx="6">
                  <c:v>5.5768249999999998E-2</c:v>
                </c:pt>
                <c:pt idx="7">
                  <c:v>1.9324102999999999E-2</c:v>
                </c:pt>
                <c:pt idx="9">
                  <c:v>-7.7793280000000003E-3</c:v>
                </c:pt>
                <c:pt idx="10">
                  <c:v>3.3507642999999997E-2</c:v>
                </c:pt>
                <c:pt idx="11">
                  <c:v>5.5304152000000002E-2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1-D34F-AE9F-63B33B7F0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06720"/>
        <c:axId val="1022524240"/>
      </c:scatterChart>
      <c:valAx>
        <c:axId val="10225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 Transportation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24240"/>
        <c:crosses val="autoZero"/>
        <c:crossBetween val="midCat"/>
      </c:valAx>
      <c:valAx>
        <c:axId val="10225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ATSBR PUBLICTR</a:t>
            </a:r>
            <a:r>
              <a:rPr lang="en-US" baseline="0"/>
              <a:t> (Crowded)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731736235673246E-2"/>
                  <c:y val="0.27071111111111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Regression!$R$2:$R$13</c:f>
              <c:numCache>
                <c:formatCode>General</c:formatCode>
                <c:ptCount val="12"/>
                <c:pt idx="2">
                  <c:v>2.266483</c:v>
                </c:pt>
                <c:pt idx="6">
                  <c:v>4.7154689999999997</c:v>
                </c:pt>
                <c:pt idx="7">
                  <c:v>1.595407</c:v>
                </c:pt>
                <c:pt idx="10">
                  <c:v>3.1974629999999999</c:v>
                </c:pt>
                <c:pt idx="11">
                  <c:v>2.4929640000000002</c:v>
                </c:pt>
              </c:numCache>
            </c:numRef>
          </c:xVal>
          <c:yVal>
            <c:numRef>
              <c:f>Regression!$Q$2:$Q$13</c:f>
              <c:numCache>
                <c:formatCode>General</c:formatCode>
                <c:ptCount val="12"/>
                <c:pt idx="2">
                  <c:v>1.9098905999999999E-2</c:v>
                </c:pt>
                <c:pt idx="6">
                  <c:v>5.5768249999999998E-2</c:v>
                </c:pt>
                <c:pt idx="7">
                  <c:v>1.9324102999999999E-2</c:v>
                </c:pt>
                <c:pt idx="10">
                  <c:v>3.3507642999999997E-2</c:v>
                </c:pt>
                <c:pt idx="11">
                  <c:v>5.5304152000000002E-2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7B-3248-B598-089734DAA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06720"/>
        <c:axId val="1022524240"/>
      </c:scatterChart>
      <c:valAx>
        <c:axId val="10225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 Transportation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24240"/>
        <c:crosses val="autoZero"/>
        <c:crossBetween val="midCat"/>
      </c:valAx>
      <c:valAx>
        <c:axId val="10225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ATSBR PUBLICTR (Uncrowded)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1025344804872362E-2"/>
                  <c:y val="0.179352580927384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Regression!$AG$2:$AG$13</c:f>
              <c:numCache>
                <c:formatCode>General</c:formatCode>
                <c:ptCount val="12"/>
                <c:pt idx="0">
                  <c:v>2.1459359999999998</c:v>
                </c:pt>
                <c:pt idx="1">
                  <c:v>0.74672099999999997</c:v>
                </c:pt>
                <c:pt idx="4">
                  <c:v>3.1496979999999999</c:v>
                </c:pt>
                <c:pt idx="5">
                  <c:v>1.3315170000000001</c:v>
                </c:pt>
                <c:pt idx="9">
                  <c:v>1.3538140000000001</c:v>
                </c:pt>
              </c:numCache>
            </c:numRef>
          </c:xVal>
          <c:yVal>
            <c:numRef>
              <c:f>Regression!$AF$2:$AF$13</c:f>
              <c:numCache>
                <c:formatCode>General</c:formatCode>
                <c:ptCount val="12"/>
                <c:pt idx="0">
                  <c:v>-8.9864090000000008E-3</c:v>
                </c:pt>
                <c:pt idx="1">
                  <c:v>-7.0764041999999999E-2</c:v>
                </c:pt>
                <c:pt idx="4">
                  <c:v>-1.361688E-2</c:v>
                </c:pt>
                <c:pt idx="5">
                  <c:v>8.6388139999999999E-3</c:v>
                </c:pt>
                <c:pt idx="9">
                  <c:v>-7.7793280000000003E-3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16-324F-94C9-BF433022D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06720"/>
        <c:axId val="1022524240"/>
      </c:scatterChart>
      <c:valAx>
        <c:axId val="10225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 Transportation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24240"/>
        <c:crosses val="autoZero"/>
        <c:crossBetween val="midCat"/>
      </c:valAx>
      <c:valAx>
        <c:axId val="10225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11</xdr:col>
      <xdr:colOff>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9A528-871A-F5F6-30EA-D0F72CA6D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0</xdr:row>
      <xdr:rowOff>0</xdr:rowOff>
    </xdr:from>
    <xdr:to>
      <xdr:col>25</xdr:col>
      <xdr:colOff>806450</xdr:colOff>
      <xdr:row>14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9D13E3-86D8-CD44-AE80-E2A23743A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0</xdr:row>
      <xdr:rowOff>0</xdr:rowOff>
    </xdr:from>
    <xdr:to>
      <xdr:col>40</xdr:col>
      <xdr:colOff>806450</xdr:colOff>
      <xdr:row>14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A1AB29-C173-E542-849F-9146392A8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D1BC-0C17-1B4E-8BBE-938092E54FB2}">
  <dimension ref="A1:AR49"/>
  <sheetViews>
    <sheetView tabSelected="1" workbookViewId="0">
      <selection activeCell="AK40" sqref="AK40"/>
    </sheetView>
  </sheetViews>
  <sheetFormatPr baseColWidth="10" defaultRowHeight="16" x14ac:dyDescent="0.2"/>
  <sheetData>
    <row r="1" spans="1:43" x14ac:dyDescent="0.2">
      <c r="A1" t="s">
        <v>0</v>
      </c>
      <c r="B1" t="s">
        <v>1</v>
      </c>
      <c r="C1" t="s">
        <v>2</v>
      </c>
      <c r="P1" t="s">
        <v>0</v>
      </c>
      <c r="Q1" t="s">
        <v>1</v>
      </c>
      <c r="R1" t="s">
        <v>2</v>
      </c>
      <c r="AE1" t="s">
        <v>0</v>
      </c>
      <c r="AF1" t="s">
        <v>1</v>
      </c>
      <c r="AG1" t="s">
        <v>2</v>
      </c>
    </row>
    <row r="2" spans="1:43" x14ac:dyDescent="0.2">
      <c r="A2">
        <v>1</v>
      </c>
      <c r="B2">
        <v>-8.9864090000000008E-3</v>
      </c>
      <c r="C2">
        <v>2.1459359999999998</v>
      </c>
      <c r="P2">
        <v>1</v>
      </c>
      <c r="AE2">
        <v>1</v>
      </c>
      <c r="AF2">
        <v>-8.9864090000000008E-3</v>
      </c>
      <c r="AG2">
        <v>2.1459359999999998</v>
      </c>
    </row>
    <row r="3" spans="1:43" x14ac:dyDescent="0.2">
      <c r="A3">
        <v>2</v>
      </c>
      <c r="B3">
        <v>-7.0764041999999999E-2</v>
      </c>
      <c r="C3">
        <v>0.74672099999999997</v>
      </c>
      <c r="P3">
        <v>2</v>
      </c>
      <c r="AE3">
        <v>2</v>
      </c>
      <c r="AF3">
        <v>-7.0764041999999999E-2</v>
      </c>
      <c r="AG3">
        <v>0.74672099999999997</v>
      </c>
    </row>
    <row r="4" spans="1:43" x14ac:dyDescent="0.2">
      <c r="A4">
        <v>3</v>
      </c>
      <c r="B4">
        <v>1.9098905999999999E-2</v>
      </c>
      <c r="C4">
        <v>2.266483</v>
      </c>
      <c r="L4" t="s">
        <v>5</v>
      </c>
      <c r="M4">
        <f>CORREL(C2:C13,B2:B13)</f>
        <v>0.66344428426764801</v>
      </c>
      <c r="P4">
        <v>3</v>
      </c>
      <c r="Q4">
        <v>1.9098905999999999E-2</v>
      </c>
      <c r="R4">
        <v>2.266483</v>
      </c>
      <c r="AA4" t="s">
        <v>5</v>
      </c>
      <c r="AB4">
        <f>CORREL(R2:R13,Q2:Q13)</f>
        <v>0.6909447202071346</v>
      </c>
      <c r="AE4">
        <v>3</v>
      </c>
      <c r="AP4" t="s">
        <v>5</v>
      </c>
      <c r="AQ4">
        <f>CORREL(AG2:AG13,AF2:AF13)</f>
        <v>0.41970175235053775</v>
      </c>
    </row>
    <row r="5" spans="1:43" x14ac:dyDescent="0.2">
      <c r="A5">
        <v>4</v>
      </c>
      <c r="D5" t="s">
        <v>3</v>
      </c>
      <c r="P5">
        <v>4</v>
      </c>
      <c r="S5" t="s">
        <v>3</v>
      </c>
      <c r="AE5">
        <v>4</v>
      </c>
      <c r="AH5" t="s">
        <v>3</v>
      </c>
    </row>
    <row r="6" spans="1:43" x14ac:dyDescent="0.2">
      <c r="A6">
        <v>5</v>
      </c>
      <c r="B6">
        <v>-1.361688E-2</v>
      </c>
      <c r="C6">
        <v>3.1496979999999999</v>
      </c>
      <c r="P6">
        <v>5</v>
      </c>
      <c r="AE6">
        <v>5</v>
      </c>
      <c r="AF6">
        <v>-1.361688E-2</v>
      </c>
      <c r="AG6">
        <v>3.1496979999999999</v>
      </c>
    </row>
    <row r="7" spans="1:43" x14ac:dyDescent="0.2">
      <c r="A7">
        <v>6</v>
      </c>
      <c r="B7">
        <v>8.6388139999999999E-3</v>
      </c>
      <c r="C7">
        <v>1.3315170000000001</v>
      </c>
      <c r="P7">
        <v>6</v>
      </c>
      <c r="AE7">
        <v>6</v>
      </c>
      <c r="AF7">
        <v>8.6388139999999999E-3</v>
      </c>
      <c r="AG7">
        <v>1.3315170000000001</v>
      </c>
    </row>
    <row r="8" spans="1:43" x14ac:dyDescent="0.2">
      <c r="A8">
        <v>7</v>
      </c>
      <c r="B8">
        <v>5.5768249999999998E-2</v>
      </c>
      <c r="C8">
        <v>4.7154689999999997</v>
      </c>
      <c r="P8">
        <v>7</v>
      </c>
      <c r="Q8">
        <v>5.5768249999999998E-2</v>
      </c>
      <c r="R8">
        <v>4.7154689999999997</v>
      </c>
      <c r="AE8">
        <v>7</v>
      </c>
    </row>
    <row r="9" spans="1:43" x14ac:dyDescent="0.2">
      <c r="A9">
        <v>8</v>
      </c>
      <c r="B9">
        <v>1.9324102999999999E-2</v>
      </c>
      <c r="C9">
        <v>1.595407</v>
      </c>
      <c r="P9">
        <v>8</v>
      </c>
      <c r="Q9">
        <v>1.9324102999999999E-2</v>
      </c>
      <c r="R9">
        <v>1.595407</v>
      </c>
      <c r="AE9">
        <v>8</v>
      </c>
    </row>
    <row r="10" spans="1:43" x14ac:dyDescent="0.2">
      <c r="A10">
        <v>9</v>
      </c>
      <c r="D10" t="s">
        <v>4</v>
      </c>
      <c r="P10">
        <v>9</v>
      </c>
      <c r="S10" t="s">
        <v>4</v>
      </c>
      <c r="AE10">
        <v>9</v>
      </c>
      <c r="AH10" t="s">
        <v>4</v>
      </c>
    </row>
    <row r="11" spans="1:43" x14ac:dyDescent="0.2">
      <c r="A11">
        <v>10</v>
      </c>
      <c r="B11">
        <v>-7.7793280000000003E-3</v>
      </c>
      <c r="C11">
        <v>1.3538140000000001</v>
      </c>
      <c r="P11">
        <v>10</v>
      </c>
      <c r="AE11">
        <v>10</v>
      </c>
      <c r="AF11">
        <v>-7.7793280000000003E-3</v>
      </c>
      <c r="AG11">
        <v>1.3538140000000001</v>
      </c>
    </row>
    <row r="12" spans="1:43" x14ac:dyDescent="0.2">
      <c r="A12">
        <v>11</v>
      </c>
      <c r="B12">
        <v>3.3507642999999997E-2</v>
      </c>
      <c r="C12">
        <v>3.1974629999999999</v>
      </c>
      <c r="P12">
        <v>11</v>
      </c>
      <c r="Q12">
        <v>3.3507642999999997E-2</v>
      </c>
      <c r="R12">
        <v>3.1974629999999999</v>
      </c>
      <c r="AE12">
        <v>11</v>
      </c>
    </row>
    <row r="13" spans="1:43" x14ac:dyDescent="0.2">
      <c r="A13">
        <v>12</v>
      </c>
      <c r="B13">
        <v>5.5304152000000002E-2</v>
      </c>
      <c r="C13">
        <v>2.4929640000000002</v>
      </c>
      <c r="P13">
        <v>12</v>
      </c>
      <c r="Q13">
        <v>5.5304152000000002E-2</v>
      </c>
      <c r="R13">
        <v>2.4929640000000002</v>
      </c>
      <c r="AE13">
        <v>12</v>
      </c>
    </row>
    <row r="18" spans="1:41" x14ac:dyDescent="0.2">
      <c r="A18" t="s">
        <v>0</v>
      </c>
      <c r="B18" t="s">
        <v>1</v>
      </c>
      <c r="C18" t="s">
        <v>2</v>
      </c>
      <c r="F18" t="s">
        <v>6</v>
      </c>
      <c r="P18" t="s">
        <v>0</v>
      </c>
      <c r="Q18" t="s">
        <v>1</v>
      </c>
      <c r="R18" t="s">
        <v>2</v>
      </c>
      <c r="U18" t="s">
        <v>6</v>
      </c>
      <c r="AE18" t="s">
        <v>0</v>
      </c>
      <c r="AF18" t="s">
        <v>1</v>
      </c>
      <c r="AG18" t="s">
        <v>2</v>
      </c>
      <c r="AJ18" t="s">
        <v>6</v>
      </c>
    </row>
    <row r="19" spans="1:41" ht="17" thickBot="1" x14ac:dyDescent="0.25">
      <c r="A19">
        <v>1</v>
      </c>
      <c r="B19">
        <v>-8.9864090000000008E-3</v>
      </c>
      <c r="C19">
        <v>2.1459359999999998</v>
      </c>
      <c r="P19">
        <v>3</v>
      </c>
      <c r="Q19">
        <v>1.9098905999999999E-2</v>
      </c>
      <c r="R19">
        <v>2.266483</v>
      </c>
      <c r="AE19">
        <v>1</v>
      </c>
      <c r="AF19">
        <v>-8.9864090000000008E-3</v>
      </c>
      <c r="AG19">
        <v>2.1459359999999998</v>
      </c>
    </row>
    <row r="20" spans="1:41" x14ac:dyDescent="0.2">
      <c r="A20">
        <v>2</v>
      </c>
      <c r="B20">
        <v>-7.0764041999999999E-2</v>
      </c>
      <c r="C20">
        <v>0.74672099999999997</v>
      </c>
      <c r="F20" s="4" t="s">
        <v>7</v>
      </c>
      <c r="G20" s="4"/>
      <c r="P20">
        <v>7</v>
      </c>
      <c r="Q20">
        <v>5.5768249999999998E-2</v>
      </c>
      <c r="R20">
        <v>4.7154689999999997</v>
      </c>
      <c r="U20" s="4" t="s">
        <v>7</v>
      </c>
      <c r="V20" s="4"/>
      <c r="AE20">
        <v>2</v>
      </c>
      <c r="AF20">
        <v>-7.0764041999999999E-2</v>
      </c>
      <c r="AG20">
        <v>0.74672099999999997</v>
      </c>
      <c r="AJ20" s="4" t="s">
        <v>7</v>
      </c>
      <c r="AK20" s="4"/>
    </row>
    <row r="21" spans="1:41" x14ac:dyDescent="0.2">
      <c r="A21">
        <v>3</v>
      </c>
      <c r="B21">
        <v>1.9098905999999999E-2</v>
      </c>
      <c r="C21">
        <v>2.266483</v>
      </c>
      <c r="F21" t="s">
        <v>8</v>
      </c>
      <c r="G21">
        <v>0.6634442842676479</v>
      </c>
      <c r="P21">
        <v>8</v>
      </c>
      <c r="Q21">
        <v>1.9324102999999999E-2</v>
      </c>
      <c r="R21">
        <v>1.595407</v>
      </c>
      <c r="U21" t="s">
        <v>8</v>
      </c>
      <c r="V21">
        <v>0.69094472020713471</v>
      </c>
      <c r="AE21">
        <v>5</v>
      </c>
      <c r="AF21">
        <v>-1.361688E-2</v>
      </c>
      <c r="AG21">
        <v>3.1496979999999999</v>
      </c>
      <c r="AJ21" t="s">
        <v>8</v>
      </c>
      <c r="AK21">
        <v>0.41970175235053792</v>
      </c>
    </row>
    <row r="22" spans="1:41" x14ac:dyDescent="0.2">
      <c r="A22">
        <v>5</v>
      </c>
      <c r="B22">
        <v>-1.361688E-2</v>
      </c>
      <c r="C22">
        <v>3.1496979999999999</v>
      </c>
      <c r="F22" t="s">
        <v>9</v>
      </c>
      <c r="G22">
        <v>0.44015831832741154</v>
      </c>
      <c r="P22">
        <v>11</v>
      </c>
      <c r="Q22">
        <v>3.3507642999999997E-2</v>
      </c>
      <c r="R22">
        <v>3.1974629999999999</v>
      </c>
      <c r="U22" t="s">
        <v>9</v>
      </c>
      <c r="V22">
        <v>0.47740460638211568</v>
      </c>
      <c r="AE22">
        <v>6</v>
      </c>
      <c r="AF22">
        <v>8.6388139999999999E-3</v>
      </c>
      <c r="AG22">
        <v>1.3315170000000001</v>
      </c>
      <c r="AJ22" t="s">
        <v>9</v>
      </c>
      <c r="AK22">
        <v>0.17614956092611228</v>
      </c>
    </row>
    <row r="23" spans="1:41" x14ac:dyDescent="0.2">
      <c r="A23">
        <v>6</v>
      </c>
      <c r="B23">
        <v>8.6388139999999999E-3</v>
      </c>
      <c r="C23">
        <v>1.3315170000000001</v>
      </c>
      <c r="F23" t="s">
        <v>10</v>
      </c>
      <c r="G23">
        <v>0.37017810811833796</v>
      </c>
      <c r="P23">
        <v>12</v>
      </c>
      <c r="Q23">
        <v>5.5304152000000002E-2</v>
      </c>
      <c r="R23">
        <v>2.4929640000000002</v>
      </c>
      <c r="U23" t="s">
        <v>10</v>
      </c>
      <c r="V23">
        <v>0.30320614184282091</v>
      </c>
      <c r="AE23">
        <v>10</v>
      </c>
      <c r="AF23">
        <v>-7.7793280000000003E-3</v>
      </c>
      <c r="AG23">
        <v>1.3538140000000001</v>
      </c>
      <c r="AJ23" t="s">
        <v>10</v>
      </c>
      <c r="AK23">
        <v>-9.8467252098516964E-2</v>
      </c>
    </row>
    <row r="24" spans="1:41" x14ac:dyDescent="0.2">
      <c r="A24">
        <v>7</v>
      </c>
      <c r="B24">
        <v>5.5768249999999998E-2</v>
      </c>
      <c r="C24">
        <v>4.7154689999999997</v>
      </c>
      <c r="F24" t="s">
        <v>11</v>
      </c>
      <c r="G24">
        <v>2.9717292529919673E-2</v>
      </c>
      <c r="U24" t="s">
        <v>11</v>
      </c>
      <c r="V24">
        <v>1.5230176169014347E-2</v>
      </c>
      <c r="AJ24" t="s">
        <v>11</v>
      </c>
      <c r="AK24">
        <v>3.1864547083152187E-2</v>
      </c>
    </row>
    <row r="25" spans="1:41" ht="17" thickBot="1" x14ac:dyDescent="0.25">
      <c r="A25">
        <v>8</v>
      </c>
      <c r="B25">
        <v>1.9324102999999999E-2</v>
      </c>
      <c r="C25">
        <v>1.595407</v>
      </c>
      <c r="F25" s="2" t="s">
        <v>12</v>
      </c>
      <c r="G25" s="2">
        <v>10</v>
      </c>
      <c r="U25" s="2" t="s">
        <v>12</v>
      </c>
      <c r="V25" s="2">
        <v>5</v>
      </c>
      <c r="AJ25" s="2" t="s">
        <v>12</v>
      </c>
      <c r="AK25" s="2">
        <v>5</v>
      </c>
    </row>
    <row r="26" spans="1:41" x14ac:dyDescent="0.2">
      <c r="A26">
        <v>10</v>
      </c>
      <c r="B26">
        <v>-7.7793280000000003E-3</v>
      </c>
      <c r="C26">
        <v>1.3538140000000001</v>
      </c>
    </row>
    <row r="27" spans="1:41" ht="17" thickBot="1" x14ac:dyDescent="0.25">
      <c r="A27">
        <v>11</v>
      </c>
      <c r="B27">
        <v>3.3507642999999997E-2</v>
      </c>
      <c r="C27">
        <v>3.1974629999999999</v>
      </c>
      <c r="F27" t="s">
        <v>13</v>
      </c>
      <c r="U27" t="s">
        <v>13</v>
      </c>
      <c r="AJ27" t="s">
        <v>13</v>
      </c>
    </row>
    <row r="28" spans="1:41" x14ac:dyDescent="0.2">
      <c r="A28">
        <v>12</v>
      </c>
      <c r="B28">
        <v>5.5304152000000002E-2</v>
      </c>
      <c r="C28">
        <v>2.4929640000000002</v>
      </c>
      <c r="F28" s="3"/>
      <c r="G28" s="3" t="s">
        <v>18</v>
      </c>
      <c r="H28" s="3" t="s">
        <v>19</v>
      </c>
      <c r="I28" s="3" t="s">
        <v>20</v>
      </c>
      <c r="J28" s="3" t="s">
        <v>21</v>
      </c>
      <c r="K28" s="3" t="s">
        <v>22</v>
      </c>
      <c r="U28" s="3"/>
      <c r="V28" s="3" t="s">
        <v>18</v>
      </c>
      <c r="W28" s="3" t="s">
        <v>19</v>
      </c>
      <c r="X28" s="3" t="s">
        <v>20</v>
      </c>
      <c r="Y28" s="3" t="s">
        <v>21</v>
      </c>
      <c r="Z28" s="3" t="s">
        <v>22</v>
      </c>
      <c r="AJ28" s="3"/>
      <c r="AK28" s="3" t="s">
        <v>18</v>
      </c>
      <c r="AL28" s="3" t="s">
        <v>19</v>
      </c>
      <c r="AM28" s="3" t="s">
        <v>20</v>
      </c>
      <c r="AN28" s="3" t="s">
        <v>21</v>
      </c>
      <c r="AO28" s="3" t="s">
        <v>22</v>
      </c>
    </row>
    <row r="29" spans="1:41" x14ac:dyDescent="0.2">
      <c r="F29" t="s">
        <v>14</v>
      </c>
      <c r="G29">
        <v>1</v>
      </c>
      <c r="H29">
        <v>5.5545918146881973E-3</v>
      </c>
      <c r="I29">
        <v>5.5545918146881973E-3</v>
      </c>
      <c r="J29">
        <v>6.2897541606747138</v>
      </c>
      <c r="K29" s="5">
        <v>3.6487943984376152E-2</v>
      </c>
      <c r="U29" t="s">
        <v>14</v>
      </c>
      <c r="V29">
        <v>1</v>
      </c>
      <c r="W29">
        <v>6.3569988998547745E-4</v>
      </c>
      <c r="X29">
        <v>6.3569988998547745E-4</v>
      </c>
      <c r="Y29">
        <v>2.7405787280887615</v>
      </c>
      <c r="Z29" s="5">
        <v>0.19640488223555827</v>
      </c>
      <c r="AJ29" t="s">
        <v>14</v>
      </c>
      <c r="AK29">
        <v>1</v>
      </c>
      <c r="AL29">
        <v>6.5128329953355281E-4</v>
      </c>
      <c r="AM29">
        <v>6.5128329953355281E-4</v>
      </c>
      <c r="AN29">
        <v>0.64143764173067641</v>
      </c>
      <c r="AO29" s="5">
        <v>0.48175071777337292</v>
      </c>
    </row>
    <row r="30" spans="1:41" x14ac:dyDescent="0.2">
      <c r="F30" t="s">
        <v>15</v>
      </c>
      <c r="G30">
        <v>8</v>
      </c>
      <c r="H30">
        <v>7.0649398024705571E-3</v>
      </c>
      <c r="I30">
        <v>8.8311747530881964E-4</v>
      </c>
      <c r="U30" t="s">
        <v>15</v>
      </c>
      <c r="V30">
        <v>3</v>
      </c>
      <c r="W30">
        <v>6.9587479841763753E-4</v>
      </c>
      <c r="X30">
        <v>2.3195826613921252E-4</v>
      </c>
      <c r="AJ30" t="s">
        <v>15</v>
      </c>
      <c r="AK30">
        <v>3</v>
      </c>
      <c r="AL30">
        <v>3.0460480824432675E-3</v>
      </c>
      <c r="AM30">
        <v>1.0153493608144224E-3</v>
      </c>
    </row>
    <row r="31" spans="1:41" ht="17" thickBot="1" x14ac:dyDescent="0.25">
      <c r="F31" s="2" t="s">
        <v>16</v>
      </c>
      <c r="G31" s="2">
        <v>9</v>
      </c>
      <c r="H31" s="2">
        <v>1.2619531617158754E-2</v>
      </c>
      <c r="I31" s="2"/>
      <c r="J31" s="2"/>
      <c r="K31" s="2"/>
      <c r="U31" s="2" t="s">
        <v>16</v>
      </c>
      <c r="V31" s="2">
        <v>4</v>
      </c>
      <c r="W31" s="2">
        <v>1.331574688403115E-3</v>
      </c>
      <c r="X31" s="2"/>
      <c r="Y31" s="2"/>
      <c r="Z31" s="2"/>
      <c r="AJ31" s="2" t="s">
        <v>16</v>
      </c>
      <c r="AK31" s="2">
        <v>4</v>
      </c>
      <c r="AL31" s="2">
        <v>3.6973313819768203E-3</v>
      </c>
      <c r="AM31" s="2"/>
      <c r="AN31" s="2"/>
      <c r="AO31" s="2"/>
    </row>
    <row r="32" spans="1:41" ht="17" thickBot="1" x14ac:dyDescent="0.25"/>
    <row r="33" spans="1:44" x14ac:dyDescent="0.2">
      <c r="F33" s="3"/>
      <c r="G33" s="3" t="s">
        <v>23</v>
      </c>
      <c r="H33" s="3" t="s">
        <v>11</v>
      </c>
      <c r="I33" s="3" t="s">
        <v>24</v>
      </c>
      <c r="J33" s="3" t="s">
        <v>25</v>
      </c>
      <c r="K33" s="3" t="s">
        <v>26</v>
      </c>
      <c r="L33" s="3" t="s">
        <v>27</v>
      </c>
      <c r="M33" s="3" t="s">
        <v>28</v>
      </c>
      <c r="N33" s="3" t="s">
        <v>29</v>
      </c>
      <c r="U33" s="3"/>
      <c r="V33" s="3" t="s">
        <v>23</v>
      </c>
      <c r="W33" s="3" t="s">
        <v>11</v>
      </c>
      <c r="X33" s="3" t="s">
        <v>24</v>
      </c>
      <c r="Y33" s="3" t="s">
        <v>25</v>
      </c>
      <c r="Z33" s="3" t="s">
        <v>26</v>
      </c>
      <c r="AA33" s="3" t="s">
        <v>27</v>
      </c>
      <c r="AB33" s="3" t="s">
        <v>28</v>
      </c>
      <c r="AC33" s="3" t="s">
        <v>29</v>
      </c>
      <c r="AJ33" s="3"/>
      <c r="AK33" s="3" t="s">
        <v>23</v>
      </c>
      <c r="AL33" s="3" t="s">
        <v>11</v>
      </c>
      <c r="AM33" s="3" t="s">
        <v>24</v>
      </c>
      <c r="AN33" s="3" t="s">
        <v>25</v>
      </c>
      <c r="AO33" s="3" t="s">
        <v>26</v>
      </c>
      <c r="AP33" s="3" t="s">
        <v>27</v>
      </c>
      <c r="AQ33" s="3" t="s">
        <v>28</v>
      </c>
      <c r="AR33" s="3" t="s">
        <v>29</v>
      </c>
    </row>
    <row r="34" spans="1:44" x14ac:dyDescent="0.2">
      <c r="F34" t="s">
        <v>17</v>
      </c>
      <c r="G34">
        <v>-4.0085145424990351E-2</v>
      </c>
      <c r="H34">
        <v>2.1728892826843243E-2</v>
      </c>
      <c r="I34">
        <v>-1.8447854542993707</v>
      </c>
      <c r="J34" s="5">
        <v>0.10229181884508708</v>
      </c>
      <c r="K34">
        <v>-9.019206213709903E-2</v>
      </c>
      <c r="L34">
        <v>1.0021771287118331E-2</v>
      </c>
      <c r="M34">
        <v>-9.019206213709903E-2</v>
      </c>
      <c r="N34">
        <v>1.0021771287118331E-2</v>
      </c>
      <c r="U34" t="s">
        <v>17</v>
      </c>
      <c r="V34">
        <v>6.312474779407818E-3</v>
      </c>
      <c r="W34">
        <v>1.952249864485368E-2</v>
      </c>
      <c r="X34">
        <v>0.32334358906829008</v>
      </c>
      <c r="Y34" s="5">
        <v>0.76766322029123257</v>
      </c>
      <c r="Z34">
        <v>-5.5816828902812997E-2</v>
      </c>
      <c r="AA34">
        <v>6.8441778461628633E-2</v>
      </c>
      <c r="AB34">
        <v>-5.5816828902812997E-2</v>
      </c>
      <c r="AC34">
        <v>6.8441778461628633E-2</v>
      </c>
      <c r="AJ34" t="s">
        <v>17</v>
      </c>
      <c r="AK34">
        <v>-4.2469067934808022E-2</v>
      </c>
      <c r="AL34">
        <v>3.3145471030748032E-2</v>
      </c>
      <c r="AM34">
        <v>-1.2812932389891452</v>
      </c>
      <c r="AN34" s="5">
        <v>0.29015276948763075</v>
      </c>
      <c r="AO34">
        <v>-0.14795274975350031</v>
      </c>
      <c r="AP34">
        <v>6.3014613883884268E-2</v>
      </c>
      <c r="AQ34">
        <v>-0.14795274975350031</v>
      </c>
      <c r="AR34">
        <v>6.3014613883884268E-2</v>
      </c>
    </row>
    <row r="35" spans="1:44" ht="17" thickBot="1" x14ac:dyDescent="0.25">
      <c r="F35" s="2" t="s">
        <v>2</v>
      </c>
      <c r="G35" s="2">
        <v>2.1367104934828192E-2</v>
      </c>
      <c r="H35" s="2">
        <v>8.5197891588488818E-3</v>
      </c>
      <c r="I35" s="2">
        <v>2.507938229038889</v>
      </c>
      <c r="J35" s="6">
        <v>3.6487943984376082E-2</v>
      </c>
      <c r="K35" s="2">
        <v>1.7204359034550378E-3</v>
      </c>
      <c r="L35" s="2">
        <v>4.1013773966201345E-2</v>
      </c>
      <c r="M35" s="2">
        <v>1.7204359034550378E-3</v>
      </c>
      <c r="N35" s="2">
        <v>4.1013773966201345E-2</v>
      </c>
      <c r="U35" s="2" t="s">
        <v>2</v>
      </c>
      <c r="V35" s="2">
        <v>1.061416817598476E-2</v>
      </c>
      <c r="W35" s="2">
        <v>6.4115764238105027E-3</v>
      </c>
      <c r="X35" s="2">
        <v>1.6554693377072138</v>
      </c>
      <c r="Y35" s="6">
        <v>0.19640488223555827</v>
      </c>
      <c r="Z35" s="2">
        <v>-9.7903295250151116E-3</v>
      </c>
      <c r="AA35" s="2">
        <v>3.1018665876984632E-2</v>
      </c>
      <c r="AB35" s="2">
        <v>-9.7903295250151116E-3</v>
      </c>
      <c r="AC35" s="2">
        <v>3.1018665876984632E-2</v>
      </c>
      <c r="AJ35" s="2" t="s">
        <v>2</v>
      </c>
      <c r="AK35" s="2">
        <v>1.3730729390819067E-2</v>
      </c>
      <c r="AL35" s="2">
        <v>1.7144166938504627E-2</v>
      </c>
      <c r="AM35" s="2">
        <v>0.80089802205441596</v>
      </c>
      <c r="AN35" s="6">
        <v>0.48175071777337347</v>
      </c>
      <c r="AO35" s="2">
        <v>-4.08296613397921E-2</v>
      </c>
      <c r="AP35" s="2">
        <v>6.8291120121430238E-2</v>
      </c>
      <c r="AQ35" s="2">
        <v>-4.08296613397921E-2</v>
      </c>
      <c r="AR35" s="2">
        <v>6.8291120121430238E-2</v>
      </c>
    </row>
    <row r="39" spans="1:44" x14ac:dyDescent="0.2">
      <c r="A39" t="s">
        <v>0</v>
      </c>
      <c r="B39" t="s">
        <v>1</v>
      </c>
      <c r="C39" t="s">
        <v>30</v>
      </c>
      <c r="D39" t="s">
        <v>2</v>
      </c>
      <c r="P39" t="s">
        <v>0</v>
      </c>
      <c r="Q39" t="s">
        <v>1</v>
      </c>
      <c r="R39" t="s">
        <v>30</v>
      </c>
      <c r="S39" t="s">
        <v>2</v>
      </c>
      <c r="T39" t="s">
        <v>31</v>
      </c>
      <c r="AE39" t="s">
        <v>0</v>
      </c>
      <c r="AF39" t="s">
        <v>1</v>
      </c>
      <c r="AG39" t="s">
        <v>30</v>
      </c>
      <c r="AH39" t="s">
        <v>2</v>
      </c>
    </row>
    <row r="40" spans="1:44" x14ac:dyDescent="0.2">
      <c r="A40">
        <v>1</v>
      </c>
      <c r="B40">
        <v>-8.9864090000000008E-3</v>
      </c>
      <c r="C40">
        <f>_xlfn.RANK.AVG(B40, B$40:B$49, 1)</f>
        <v>3</v>
      </c>
      <c r="D40">
        <v>2.1459359999999998</v>
      </c>
      <c r="E40">
        <f>_xlfn.RANK.AVG(D40, D$40:D$49, 1)</f>
        <v>5</v>
      </c>
      <c r="G40" t="s">
        <v>32</v>
      </c>
      <c r="H40">
        <f>CORREL(C40:C49, E40:E49)</f>
        <v>0.61212121212121207</v>
      </c>
      <c r="P40">
        <v>3</v>
      </c>
      <c r="Q40">
        <v>1.9098905999999999E-2</v>
      </c>
      <c r="R40">
        <f>_xlfn.RANK.AVG(Q40, Q$40:Q$44,1)</f>
        <v>1</v>
      </c>
      <c r="S40">
        <v>2.266483</v>
      </c>
      <c r="T40">
        <f>_xlfn.RANK.AVG(S40, S$40:S$44,1)</f>
        <v>2</v>
      </c>
      <c r="V40" t="s">
        <v>32</v>
      </c>
      <c r="W40">
        <f>CORREL(R40:R44, T40:T44)</f>
        <v>0.79999999999999982</v>
      </c>
      <c r="AE40">
        <v>1</v>
      </c>
      <c r="AF40">
        <v>-8.9864090000000008E-3</v>
      </c>
      <c r="AG40">
        <f>_xlfn.RANK.AVG(AF40, AF$40:AF$44,1)</f>
        <v>3</v>
      </c>
      <c r="AH40">
        <v>2.1459359999999998</v>
      </c>
      <c r="AI40">
        <f>_xlfn.RANK.AVG(AH40, AH$40:AH$44,1)</f>
        <v>4</v>
      </c>
      <c r="AK40" t="s">
        <v>32</v>
      </c>
      <c r="AL40">
        <f>CORREL(AG40:AG44, AI40:AI44)</f>
        <v>0</v>
      </c>
    </row>
    <row r="41" spans="1:44" x14ac:dyDescent="0.2">
      <c r="A41">
        <v>2</v>
      </c>
      <c r="B41">
        <v>-7.0764041999999999E-2</v>
      </c>
      <c r="C41">
        <f t="shared" ref="C41:C49" si="0">_xlfn.RANK.AVG(B41, B$40:B$49, 1)</f>
        <v>1</v>
      </c>
      <c r="D41">
        <v>0.74672099999999997</v>
      </c>
      <c r="E41">
        <f t="shared" ref="E41:E49" si="1">_xlfn.RANK.AVG(D41, D$40:D$49, 1)</f>
        <v>1</v>
      </c>
      <c r="P41">
        <v>7</v>
      </c>
      <c r="Q41">
        <v>5.5768249999999998E-2</v>
      </c>
      <c r="R41">
        <f t="shared" ref="R41:R44" si="2">_xlfn.RANK.AVG(Q41, Q$40:Q$44,1)</f>
        <v>5</v>
      </c>
      <c r="S41">
        <v>4.7154689999999997</v>
      </c>
      <c r="T41">
        <f t="shared" ref="T41:T44" si="3">_xlfn.RANK.AVG(S41, S$40:S$44,1)</f>
        <v>5</v>
      </c>
      <c r="AE41">
        <v>2</v>
      </c>
      <c r="AF41">
        <v>-7.0764041999999999E-2</v>
      </c>
      <c r="AG41">
        <f t="shared" ref="AG41:AG44" si="4">_xlfn.RANK.AVG(AF41, AF$40:AF$44,1)</f>
        <v>1</v>
      </c>
      <c r="AH41">
        <v>0.74672099999999997</v>
      </c>
      <c r="AI41">
        <f t="shared" ref="AI41:AI44" si="5">_xlfn.RANK.AVG(AH41, AH$40:AH$44,1)</f>
        <v>1</v>
      </c>
    </row>
    <row r="42" spans="1:44" x14ac:dyDescent="0.2">
      <c r="A42">
        <v>3</v>
      </c>
      <c r="B42">
        <v>1.9098905999999999E-2</v>
      </c>
      <c r="C42">
        <f t="shared" si="0"/>
        <v>6</v>
      </c>
      <c r="D42">
        <v>2.266483</v>
      </c>
      <c r="E42">
        <f t="shared" si="1"/>
        <v>6</v>
      </c>
      <c r="P42">
        <v>8</v>
      </c>
      <c r="Q42">
        <v>1.9324102999999999E-2</v>
      </c>
      <c r="R42">
        <f t="shared" si="2"/>
        <v>2</v>
      </c>
      <c r="S42">
        <v>1.595407</v>
      </c>
      <c r="T42">
        <f t="shared" si="3"/>
        <v>1</v>
      </c>
      <c r="AE42">
        <v>5</v>
      </c>
      <c r="AF42">
        <v>-1.361688E-2</v>
      </c>
      <c r="AG42">
        <f t="shared" si="4"/>
        <v>2</v>
      </c>
      <c r="AH42">
        <v>3.1496979999999999</v>
      </c>
      <c r="AI42">
        <f t="shared" si="5"/>
        <v>5</v>
      </c>
    </row>
    <row r="43" spans="1:44" x14ac:dyDescent="0.2">
      <c r="A43">
        <v>5</v>
      </c>
      <c r="B43">
        <v>-1.361688E-2</v>
      </c>
      <c r="C43">
        <f t="shared" si="0"/>
        <v>2</v>
      </c>
      <c r="D43">
        <v>3.1496979999999999</v>
      </c>
      <c r="E43">
        <f t="shared" si="1"/>
        <v>8</v>
      </c>
      <c r="P43">
        <v>11</v>
      </c>
      <c r="Q43">
        <v>3.3507642999999997E-2</v>
      </c>
      <c r="R43">
        <f t="shared" si="2"/>
        <v>3</v>
      </c>
      <c r="S43">
        <v>3.1974629999999999</v>
      </c>
      <c r="T43">
        <f t="shared" si="3"/>
        <v>4</v>
      </c>
      <c r="AE43">
        <v>6</v>
      </c>
      <c r="AF43">
        <v>8.6388139999999999E-3</v>
      </c>
      <c r="AG43">
        <f t="shared" si="4"/>
        <v>5</v>
      </c>
      <c r="AH43">
        <v>1.3315170000000001</v>
      </c>
      <c r="AI43">
        <f t="shared" si="5"/>
        <v>2</v>
      </c>
    </row>
    <row r="44" spans="1:44" x14ac:dyDescent="0.2">
      <c r="A44">
        <v>6</v>
      </c>
      <c r="B44">
        <v>8.6388139999999999E-3</v>
      </c>
      <c r="C44">
        <f t="shared" si="0"/>
        <v>5</v>
      </c>
      <c r="D44">
        <v>1.3315170000000001</v>
      </c>
      <c r="E44">
        <f t="shared" si="1"/>
        <v>2</v>
      </c>
      <c r="P44">
        <v>12</v>
      </c>
      <c r="Q44">
        <v>5.5304152000000002E-2</v>
      </c>
      <c r="R44">
        <f t="shared" si="2"/>
        <v>4</v>
      </c>
      <c r="S44">
        <v>2.4929640000000002</v>
      </c>
      <c r="T44">
        <f t="shared" si="3"/>
        <v>3</v>
      </c>
      <c r="AE44">
        <v>10</v>
      </c>
      <c r="AF44">
        <v>-7.7793280000000003E-3</v>
      </c>
      <c r="AG44">
        <f t="shared" si="4"/>
        <v>4</v>
      </c>
      <c r="AH44">
        <v>1.3538140000000001</v>
      </c>
      <c r="AI44">
        <f t="shared" si="5"/>
        <v>3</v>
      </c>
    </row>
    <row r="45" spans="1:44" x14ac:dyDescent="0.2">
      <c r="A45">
        <v>7</v>
      </c>
      <c r="B45">
        <v>5.5768249999999998E-2</v>
      </c>
      <c r="C45">
        <f t="shared" si="0"/>
        <v>10</v>
      </c>
      <c r="D45">
        <v>4.7154689999999997</v>
      </c>
      <c r="E45">
        <f t="shared" si="1"/>
        <v>10</v>
      </c>
    </row>
    <row r="46" spans="1:44" x14ac:dyDescent="0.2">
      <c r="A46">
        <v>8</v>
      </c>
      <c r="B46">
        <v>1.9324102999999999E-2</v>
      </c>
      <c r="C46">
        <f t="shared" si="0"/>
        <v>7</v>
      </c>
      <c r="D46">
        <v>1.595407</v>
      </c>
      <c r="E46">
        <f t="shared" si="1"/>
        <v>4</v>
      </c>
    </row>
    <row r="47" spans="1:44" x14ac:dyDescent="0.2">
      <c r="A47">
        <v>10</v>
      </c>
      <c r="B47">
        <v>-7.7793280000000003E-3</v>
      </c>
      <c r="C47">
        <f t="shared" si="0"/>
        <v>4</v>
      </c>
      <c r="D47">
        <v>1.3538140000000001</v>
      </c>
      <c r="E47">
        <f t="shared" si="1"/>
        <v>3</v>
      </c>
    </row>
    <row r="48" spans="1:44" x14ac:dyDescent="0.2">
      <c r="A48">
        <v>11</v>
      </c>
      <c r="B48">
        <v>3.3507642999999997E-2</v>
      </c>
      <c r="C48">
        <f t="shared" si="0"/>
        <v>8</v>
      </c>
      <c r="D48">
        <v>3.1974629999999999</v>
      </c>
      <c r="E48">
        <f t="shared" si="1"/>
        <v>9</v>
      </c>
    </row>
    <row r="49" spans="1:5" x14ac:dyDescent="0.2">
      <c r="A49">
        <v>12</v>
      </c>
      <c r="B49">
        <v>5.5304152000000002E-2</v>
      </c>
      <c r="C49">
        <f t="shared" si="0"/>
        <v>9</v>
      </c>
      <c r="D49">
        <v>2.4929640000000002</v>
      </c>
      <c r="E49">
        <f t="shared" si="1"/>
        <v>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ECFC-F9B1-324D-85E2-CF56294FF12A}">
  <dimension ref="A1:G13"/>
  <sheetViews>
    <sheetView workbookViewId="0">
      <selection activeCell="C9" sqref="C9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x14ac:dyDescent="0.2">
      <c r="A2" s="1">
        <v>9</v>
      </c>
      <c r="B2" s="1"/>
      <c r="C2" s="1"/>
      <c r="D2" s="1">
        <v>-0.22066379999999999</v>
      </c>
      <c r="E2" s="1"/>
      <c r="F2" s="1"/>
      <c r="G2" s="1"/>
    </row>
    <row r="3" spans="1:7" x14ac:dyDescent="0.2">
      <c r="A3" s="1">
        <v>1</v>
      </c>
      <c r="B3" s="1">
        <v>-8.9864000000000003E-3</v>
      </c>
      <c r="C3" s="1">
        <v>2.1459359999999998</v>
      </c>
      <c r="D3" s="1"/>
      <c r="E3" s="1"/>
      <c r="F3" s="1"/>
      <c r="G3" s="1"/>
    </row>
    <row r="4" spans="1:7" x14ac:dyDescent="0.2">
      <c r="A4" s="1">
        <v>2</v>
      </c>
      <c r="B4" s="1">
        <v>-7.0763999999999994E-2</v>
      </c>
      <c r="C4" s="1">
        <v>0.74672099999999997</v>
      </c>
      <c r="D4" s="1"/>
      <c r="E4" s="1"/>
      <c r="F4" s="1"/>
      <c r="G4" s="1"/>
    </row>
    <row r="5" spans="1:7" x14ac:dyDescent="0.2">
      <c r="A5" s="1">
        <v>3</v>
      </c>
      <c r="B5" s="1">
        <v>1.909891E-2</v>
      </c>
      <c r="C5" s="1">
        <v>2.266483</v>
      </c>
      <c r="D5" s="1"/>
      <c r="E5" s="1"/>
      <c r="F5" s="1"/>
      <c r="G5" s="1"/>
    </row>
    <row r="6" spans="1:7" x14ac:dyDescent="0.2">
      <c r="A6" s="1">
        <v>4</v>
      </c>
      <c r="B6" s="1">
        <v>3.064716E-2</v>
      </c>
      <c r="C6" s="1">
        <v>9.945316</v>
      </c>
      <c r="D6" s="1"/>
      <c r="E6" s="1" t="s">
        <v>3</v>
      </c>
      <c r="F6" s="1"/>
      <c r="G6" s="1"/>
    </row>
    <row r="7" spans="1:7" x14ac:dyDescent="0.2">
      <c r="A7" s="1">
        <v>5</v>
      </c>
      <c r="B7" s="1">
        <v>-1.3616899999999999E-2</v>
      </c>
      <c r="C7" s="1">
        <v>3.1496979999999999</v>
      </c>
      <c r="D7" s="1"/>
      <c r="E7" s="1"/>
      <c r="F7" s="1"/>
      <c r="G7" s="1"/>
    </row>
    <row r="8" spans="1:7" x14ac:dyDescent="0.2">
      <c r="A8" s="1">
        <v>6</v>
      </c>
      <c r="B8" s="1">
        <v>8.6388100000000002E-3</v>
      </c>
      <c r="C8" s="1">
        <v>1.3315170000000001</v>
      </c>
      <c r="D8" s="1"/>
      <c r="E8" s="1"/>
      <c r="F8" s="1"/>
      <c r="G8" s="1"/>
    </row>
    <row r="9" spans="1:7" x14ac:dyDescent="0.2">
      <c r="A9" s="1">
        <v>7</v>
      </c>
      <c r="B9" s="1">
        <v>5.5768249999999998E-2</v>
      </c>
      <c r="C9" s="1">
        <v>4.7154689999999997</v>
      </c>
      <c r="D9" s="1"/>
      <c r="E9" s="1"/>
      <c r="F9" s="1"/>
      <c r="G9" s="1"/>
    </row>
    <row r="10" spans="1:7" x14ac:dyDescent="0.2">
      <c r="A10" s="1">
        <v>8</v>
      </c>
      <c r="B10" s="1">
        <v>1.93241E-2</v>
      </c>
      <c r="C10" s="1">
        <v>1.595407</v>
      </c>
      <c r="D10" s="1"/>
      <c r="E10" s="1"/>
      <c r="F10" s="1"/>
      <c r="G10" s="1"/>
    </row>
    <row r="11" spans="1:7" x14ac:dyDescent="0.2">
      <c r="A11" s="1">
        <v>10</v>
      </c>
      <c r="B11" s="1">
        <v>-7.7793000000000003E-3</v>
      </c>
      <c r="C11" s="1">
        <v>1.3538140000000001</v>
      </c>
      <c r="D11" s="1"/>
      <c r="E11" s="1"/>
      <c r="F11" s="1"/>
      <c r="G11" s="1"/>
    </row>
    <row r="12" spans="1:7" x14ac:dyDescent="0.2">
      <c r="A12" s="1">
        <v>11</v>
      </c>
      <c r="B12" s="1">
        <v>3.3507639999999998E-2</v>
      </c>
      <c r="C12" s="1">
        <v>3.1974629999999999</v>
      </c>
      <c r="D12" s="1"/>
      <c r="E12" s="1"/>
      <c r="F12" s="1"/>
      <c r="G12" s="1"/>
    </row>
    <row r="13" spans="1:7" x14ac:dyDescent="0.2">
      <c r="A13" s="1">
        <v>12</v>
      </c>
      <c r="B13" s="1">
        <v>5.5304150000000003E-2</v>
      </c>
      <c r="C13" s="1">
        <v>2.4929640000000002</v>
      </c>
      <c r="D13" s="1"/>
      <c r="E13" s="1"/>
      <c r="F13" s="1"/>
      <c r="G13" s="1"/>
    </row>
  </sheetData>
  <sortState xmlns:xlrd2="http://schemas.microsoft.com/office/spreadsheetml/2017/richdata2" ref="A2:D13">
    <sortCondition ref="D1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2025-07-10T02:20:35Z</dcterms:created>
  <dcterms:modified xsi:type="dcterms:W3CDTF">2025-10-08T07:38:27Z</dcterms:modified>
</cp:coreProperties>
</file>