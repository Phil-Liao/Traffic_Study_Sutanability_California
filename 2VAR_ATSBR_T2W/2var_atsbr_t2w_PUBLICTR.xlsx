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hilliao/Downloads/Code/IB-Math-IA/2VAR_ATSBR_T2W/"/>
    </mc:Choice>
  </mc:AlternateContent>
  <xr:revisionPtr revIDLastSave="0" documentId="13_ncr:1_{CFE9ECEE-16FE-704A-9296-F4EF1D03B360}" xr6:coauthVersionLast="47" xr6:coauthVersionMax="47" xr10:uidLastSave="{00000000-0000-0000-0000-000000000000}"/>
  <bookViews>
    <workbookView xWindow="3840" yWindow="660" windowWidth="21760" windowHeight="14320" xr2:uid="{50320A5D-4098-5A43-9B91-D26FAF5C6D92}"/>
  </bookViews>
  <sheets>
    <sheet name="Regression" sheetId="1" r:id="rId1"/>
    <sheet name="Outli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8" i="1" l="1"/>
  <c r="M52" i="1"/>
  <c r="M36" i="1"/>
  <c r="M20" i="1"/>
  <c r="M4" i="1"/>
</calcChain>
</file>

<file path=xl/sharedStrings.xml><?xml version="1.0" encoding="utf-8"?>
<sst xmlns="http://schemas.openxmlformats.org/spreadsheetml/2006/main" count="34" uniqueCount="6">
  <si>
    <t>district_name</t>
  </si>
  <si>
    <t>speed_acr</t>
  </si>
  <si>
    <t>PUBLICTR_percent</t>
  </si>
  <si>
    <t>Outlier</t>
  </si>
  <si>
    <t>Missing Data</t>
  </si>
  <si>
    <t>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</si>
</sst>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</a:t>
            </a:r>
            <a:r>
              <a:rPr lang="en-US" baseline="0"/>
              <a:t> rate to public transportation usage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849522188104866E-2"/>
                  <c:y val="0.167916010498687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Regression!$C$2:$C$13</c:f>
              <c:numCache>
                <c:formatCode>General</c:formatCode>
                <c:ptCount val="12"/>
                <c:pt idx="0">
                  <c:v>2.1459359999999998</c:v>
                </c:pt>
                <c:pt idx="1">
                  <c:v>0.74672099999999997</c:v>
                </c:pt>
                <c:pt idx="2">
                  <c:v>2.266483</c:v>
                </c:pt>
                <c:pt idx="4">
                  <c:v>3.1496979999999999</c:v>
                </c:pt>
                <c:pt idx="5">
                  <c:v>1.3315170000000001</c:v>
                </c:pt>
                <c:pt idx="6">
                  <c:v>4.7154689999999997</c:v>
                </c:pt>
                <c:pt idx="7">
                  <c:v>1.595407</c:v>
                </c:pt>
                <c:pt idx="9">
                  <c:v>1.3538140000000001</c:v>
                </c:pt>
                <c:pt idx="10">
                  <c:v>3.1974629999999999</c:v>
                </c:pt>
                <c:pt idx="11">
                  <c:v>2.4929640000000002</c:v>
                </c:pt>
              </c:numCache>
            </c:numRef>
          </c:xVal>
          <c:yVal>
            <c:numRef>
              <c:f>Regression!$B$2:$B$13</c:f>
              <c:numCache>
                <c:formatCode>General</c:formatCode>
                <c:ptCount val="12"/>
                <c:pt idx="0">
                  <c:v>-8.9864090000000008E-3</c:v>
                </c:pt>
                <c:pt idx="1">
                  <c:v>-7.0764041999999999E-2</c:v>
                </c:pt>
                <c:pt idx="2">
                  <c:v>1.9098905999999999E-2</c:v>
                </c:pt>
                <c:pt idx="4">
                  <c:v>-1.361688E-2</c:v>
                </c:pt>
                <c:pt idx="5">
                  <c:v>8.6388139999999999E-3</c:v>
                </c:pt>
                <c:pt idx="6">
                  <c:v>5.5768249999999998E-2</c:v>
                </c:pt>
                <c:pt idx="7">
                  <c:v>1.9324102999999999E-2</c:v>
                </c:pt>
                <c:pt idx="9">
                  <c:v>-7.7793280000000003E-3</c:v>
                </c:pt>
                <c:pt idx="10">
                  <c:v>3.3507642999999997E-2</c:v>
                </c:pt>
                <c:pt idx="11">
                  <c:v>5.5304152000000002E-2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31-D34F-AE9F-63B33B7F0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06720"/>
        <c:axId val="1022524240"/>
      </c:scatterChart>
      <c:valAx>
        <c:axId val="10225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Public Transportation Usage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24240"/>
        <c:crosses val="autoZero"/>
        <c:crossBetween val="midCat"/>
      </c:valAx>
      <c:valAx>
        <c:axId val="10225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</a:t>
            </a:r>
            <a:r>
              <a:rPr lang="en-US" baseline="0"/>
              <a:t> rate to public transportation usage (populated)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1951884392829281E-2"/>
                  <c:y val="9.71321084864391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Regression!$C$18:$C$29</c:f>
              <c:numCache>
                <c:formatCode>General</c:formatCode>
                <c:ptCount val="12"/>
                <c:pt idx="6">
                  <c:v>4.7154689999999997</c:v>
                </c:pt>
                <c:pt idx="11">
                  <c:v>2.4929640000000002</c:v>
                </c:pt>
              </c:numCache>
            </c:numRef>
          </c:xVal>
          <c:yVal>
            <c:numRef>
              <c:f>Regression!$B$18:$B$29</c:f>
              <c:numCache>
                <c:formatCode>General</c:formatCode>
                <c:ptCount val="12"/>
                <c:pt idx="6">
                  <c:v>5.5768249999999998E-2</c:v>
                </c:pt>
                <c:pt idx="11">
                  <c:v>5.5304152000000002E-2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22-464A-84EE-FC36E59781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06720"/>
        <c:axId val="1022524240"/>
      </c:scatterChart>
      <c:valAx>
        <c:axId val="10225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Public Transportation Usage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24240"/>
        <c:crosses val="autoZero"/>
        <c:crossBetween val="midCat"/>
      </c:valAx>
      <c:valAx>
        <c:axId val="10225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</a:t>
            </a:r>
            <a:r>
              <a:rPr lang="en-US" baseline="0"/>
              <a:t> rate to public transportation usage (unpopulated)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1790147853139978E-2"/>
                  <c:y val="0.3876955380577427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Regression!$C$34:$C$45</c:f>
              <c:numCache>
                <c:formatCode>General</c:formatCode>
                <c:ptCount val="12"/>
                <c:pt idx="0">
                  <c:v>2.1459359999999998</c:v>
                </c:pt>
                <c:pt idx="1">
                  <c:v>0.74672099999999997</c:v>
                </c:pt>
                <c:pt idx="2">
                  <c:v>2.266483</c:v>
                </c:pt>
                <c:pt idx="4">
                  <c:v>3.1496979999999999</c:v>
                </c:pt>
                <c:pt idx="5">
                  <c:v>1.3315170000000001</c:v>
                </c:pt>
                <c:pt idx="7">
                  <c:v>1.595407</c:v>
                </c:pt>
                <c:pt idx="9">
                  <c:v>1.3538140000000001</c:v>
                </c:pt>
                <c:pt idx="10">
                  <c:v>3.1974629999999999</c:v>
                </c:pt>
              </c:numCache>
            </c:numRef>
          </c:xVal>
          <c:yVal>
            <c:numRef>
              <c:f>Regression!$B$34:$B$45</c:f>
              <c:numCache>
                <c:formatCode>General</c:formatCode>
                <c:ptCount val="12"/>
                <c:pt idx="0">
                  <c:v>-8.9864090000000008E-3</c:v>
                </c:pt>
                <c:pt idx="1">
                  <c:v>-7.0764041999999999E-2</c:v>
                </c:pt>
                <c:pt idx="2">
                  <c:v>1.9098905999999999E-2</c:v>
                </c:pt>
                <c:pt idx="4">
                  <c:v>-1.361688E-2</c:v>
                </c:pt>
                <c:pt idx="5">
                  <c:v>8.6388139999999999E-3</c:v>
                </c:pt>
                <c:pt idx="7">
                  <c:v>1.9324102999999999E-2</c:v>
                </c:pt>
                <c:pt idx="9">
                  <c:v>-7.7793280000000003E-3</c:v>
                </c:pt>
                <c:pt idx="10">
                  <c:v>3.3507642999999997E-2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D2-674C-9DB9-B4324ACD5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06720"/>
        <c:axId val="1022524240"/>
      </c:scatterChart>
      <c:valAx>
        <c:axId val="10225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Public Transportation Usage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24240"/>
        <c:crosses val="autoZero"/>
        <c:crossBetween val="midCat"/>
      </c:valAx>
      <c:valAx>
        <c:axId val="10225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</a:t>
            </a:r>
            <a:r>
              <a:rPr lang="en-US" baseline="0"/>
              <a:t> rate to public transportation usage (crowded)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1025344804872362E-2"/>
                  <c:y val="0.1793525809273840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Regression!$C$50:$C$61</c:f>
              <c:numCache>
                <c:formatCode>General</c:formatCode>
                <c:ptCount val="12"/>
                <c:pt idx="2">
                  <c:v>2.266483</c:v>
                </c:pt>
                <c:pt idx="6">
                  <c:v>4.7154689999999997</c:v>
                </c:pt>
                <c:pt idx="7">
                  <c:v>1.595407</c:v>
                </c:pt>
                <c:pt idx="10">
                  <c:v>3.1974629999999999</c:v>
                </c:pt>
                <c:pt idx="11">
                  <c:v>2.4929640000000002</c:v>
                </c:pt>
              </c:numCache>
            </c:numRef>
          </c:xVal>
          <c:yVal>
            <c:numRef>
              <c:f>Regression!$B$50:$B$61</c:f>
              <c:numCache>
                <c:formatCode>General</c:formatCode>
                <c:ptCount val="12"/>
                <c:pt idx="2">
                  <c:v>1.9098905999999999E-2</c:v>
                </c:pt>
                <c:pt idx="6">
                  <c:v>5.5768249999999998E-2</c:v>
                </c:pt>
                <c:pt idx="7">
                  <c:v>1.9324102999999999E-2</c:v>
                </c:pt>
                <c:pt idx="10">
                  <c:v>3.3507642999999997E-2</c:v>
                </c:pt>
                <c:pt idx="11">
                  <c:v>5.5304152000000002E-2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7B-3248-B598-089734DAA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06720"/>
        <c:axId val="1022524240"/>
      </c:scatterChart>
      <c:valAx>
        <c:axId val="10225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Public Transportation Usage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24240"/>
        <c:crosses val="autoZero"/>
        <c:crossBetween val="midCat"/>
      </c:valAx>
      <c:valAx>
        <c:axId val="10225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</a:t>
            </a:r>
            <a:r>
              <a:rPr lang="en-US" baseline="0"/>
              <a:t> rate to public transportation usage (uncrowded)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1025344804872362E-2"/>
                  <c:y val="0.1793525809273840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Regression!$C$66:$C$77</c:f>
              <c:numCache>
                <c:formatCode>General</c:formatCode>
                <c:ptCount val="12"/>
                <c:pt idx="0">
                  <c:v>2.1459359999999998</c:v>
                </c:pt>
                <c:pt idx="1">
                  <c:v>0.74672099999999997</c:v>
                </c:pt>
                <c:pt idx="4">
                  <c:v>3.1496979999999999</c:v>
                </c:pt>
                <c:pt idx="5">
                  <c:v>1.3315170000000001</c:v>
                </c:pt>
                <c:pt idx="9">
                  <c:v>1.3538140000000001</c:v>
                </c:pt>
              </c:numCache>
            </c:numRef>
          </c:xVal>
          <c:yVal>
            <c:numRef>
              <c:f>Regression!$B$66:$B$77</c:f>
              <c:numCache>
                <c:formatCode>General</c:formatCode>
                <c:ptCount val="12"/>
                <c:pt idx="0">
                  <c:v>-8.9864090000000008E-3</c:v>
                </c:pt>
                <c:pt idx="1">
                  <c:v>-7.0764041999999999E-2</c:v>
                </c:pt>
                <c:pt idx="4">
                  <c:v>-1.361688E-2</c:v>
                </c:pt>
                <c:pt idx="5">
                  <c:v>8.6388139999999999E-3</c:v>
                </c:pt>
                <c:pt idx="9">
                  <c:v>-7.7793280000000003E-3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16-324F-94C9-BF433022D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06720"/>
        <c:axId val="1022524240"/>
      </c:scatterChart>
      <c:valAx>
        <c:axId val="10225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Public Transportation Usage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24240"/>
        <c:crosses val="autoZero"/>
        <c:crossBetween val="midCat"/>
      </c:valAx>
      <c:valAx>
        <c:axId val="10225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0</xdr:row>
      <xdr:rowOff>0</xdr:rowOff>
    </xdr:from>
    <xdr:to>
      <xdr:col>11</xdr:col>
      <xdr:colOff>0</xdr:colOff>
      <xdr:row>14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09A528-871A-F5F6-30EA-D0F72CA6DA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16</xdr:row>
      <xdr:rowOff>0</xdr:rowOff>
    </xdr:from>
    <xdr:to>
      <xdr:col>10</xdr:col>
      <xdr:colOff>806450</xdr:colOff>
      <xdr:row>30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B21D92-4899-574D-AFA5-3B6E05EEE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32</xdr:row>
      <xdr:rowOff>0</xdr:rowOff>
    </xdr:from>
    <xdr:to>
      <xdr:col>10</xdr:col>
      <xdr:colOff>806450</xdr:colOff>
      <xdr:row>46</xdr:row>
      <xdr:rowOff>12700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F9071B-922B-AD40-9FE6-E9ED4806ED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48</xdr:row>
      <xdr:rowOff>0</xdr:rowOff>
    </xdr:from>
    <xdr:to>
      <xdr:col>10</xdr:col>
      <xdr:colOff>806450</xdr:colOff>
      <xdr:row>62</xdr:row>
      <xdr:rowOff>12700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19D13E3-86D8-CD44-AE80-E2A23743A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64</xdr:row>
      <xdr:rowOff>0</xdr:rowOff>
    </xdr:from>
    <xdr:to>
      <xdr:col>10</xdr:col>
      <xdr:colOff>806450</xdr:colOff>
      <xdr:row>78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6A1AB29-C173-E542-849F-9146392A80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DD1BC-0C17-1B4E-8BBE-938092E54FB2}">
  <dimension ref="A1:M77"/>
  <sheetViews>
    <sheetView tabSelected="1" topLeftCell="D1" workbookViewId="0">
      <selection activeCell="N13" sqref="N13"/>
    </sheetView>
  </sheetViews>
  <sheetFormatPr baseColWidth="10" defaultRowHeight="16" x14ac:dyDescent="0.2"/>
  <sheetData>
    <row r="1" spans="1:13" x14ac:dyDescent="0.2">
      <c r="A1" t="s">
        <v>0</v>
      </c>
      <c r="B1" t="s">
        <v>1</v>
      </c>
      <c r="C1" t="s">
        <v>2</v>
      </c>
    </row>
    <row r="2" spans="1:13" x14ac:dyDescent="0.2">
      <c r="A2">
        <v>1</v>
      </c>
      <c r="B2">
        <v>-8.9864090000000008E-3</v>
      </c>
      <c r="C2">
        <v>2.1459359999999998</v>
      </c>
    </row>
    <row r="3" spans="1:13" x14ac:dyDescent="0.2">
      <c r="A3">
        <v>2</v>
      </c>
      <c r="B3">
        <v>-7.0764041999999999E-2</v>
      </c>
      <c r="C3">
        <v>0.74672099999999997</v>
      </c>
    </row>
    <row r="4" spans="1:13" x14ac:dyDescent="0.2">
      <c r="A4">
        <v>3</v>
      </c>
      <c r="B4">
        <v>1.9098905999999999E-2</v>
      </c>
      <c r="C4">
        <v>2.266483</v>
      </c>
      <c r="L4" t="s">
        <v>5</v>
      </c>
      <c r="M4">
        <f>CORREL(C2:C13,B2:B13)</f>
        <v>0.66344428426764801</v>
      </c>
    </row>
    <row r="5" spans="1:13" x14ac:dyDescent="0.2">
      <c r="A5">
        <v>4</v>
      </c>
      <c r="D5" t="s">
        <v>3</v>
      </c>
    </row>
    <row r="6" spans="1:13" x14ac:dyDescent="0.2">
      <c r="A6">
        <v>5</v>
      </c>
      <c r="B6">
        <v>-1.361688E-2</v>
      </c>
      <c r="C6">
        <v>3.1496979999999999</v>
      </c>
    </row>
    <row r="7" spans="1:13" x14ac:dyDescent="0.2">
      <c r="A7">
        <v>6</v>
      </c>
      <c r="B7">
        <v>8.6388139999999999E-3</v>
      </c>
      <c r="C7">
        <v>1.3315170000000001</v>
      </c>
    </row>
    <row r="8" spans="1:13" x14ac:dyDescent="0.2">
      <c r="A8">
        <v>7</v>
      </c>
      <c r="B8">
        <v>5.5768249999999998E-2</v>
      </c>
      <c r="C8">
        <v>4.7154689999999997</v>
      </c>
    </row>
    <row r="9" spans="1:13" x14ac:dyDescent="0.2">
      <c r="A9">
        <v>8</v>
      </c>
      <c r="B9">
        <v>1.9324102999999999E-2</v>
      </c>
      <c r="C9">
        <v>1.595407</v>
      </c>
    </row>
    <row r="10" spans="1:13" x14ac:dyDescent="0.2">
      <c r="A10">
        <v>9</v>
      </c>
      <c r="D10" t="s">
        <v>4</v>
      </c>
    </row>
    <row r="11" spans="1:13" x14ac:dyDescent="0.2">
      <c r="A11">
        <v>10</v>
      </c>
      <c r="B11">
        <v>-7.7793280000000003E-3</v>
      </c>
      <c r="C11">
        <v>1.3538140000000001</v>
      </c>
    </row>
    <row r="12" spans="1:13" x14ac:dyDescent="0.2">
      <c r="A12">
        <v>11</v>
      </c>
      <c r="B12">
        <v>3.3507642999999997E-2</v>
      </c>
      <c r="C12">
        <v>3.1974629999999999</v>
      </c>
    </row>
    <row r="13" spans="1:13" x14ac:dyDescent="0.2">
      <c r="A13">
        <v>12</v>
      </c>
      <c r="B13">
        <v>5.5304152000000002E-2</v>
      </c>
      <c r="C13">
        <v>2.4929640000000002</v>
      </c>
    </row>
    <row r="17" spans="1:13" x14ac:dyDescent="0.2">
      <c r="A17" t="s">
        <v>0</v>
      </c>
      <c r="B17" t="s">
        <v>1</v>
      </c>
      <c r="C17" t="s">
        <v>2</v>
      </c>
    </row>
    <row r="18" spans="1:13" x14ac:dyDescent="0.2">
      <c r="A18">
        <v>1</v>
      </c>
    </row>
    <row r="19" spans="1:13" x14ac:dyDescent="0.2">
      <c r="A19">
        <v>2</v>
      </c>
    </row>
    <row r="20" spans="1:13" x14ac:dyDescent="0.2">
      <c r="A20">
        <v>3</v>
      </c>
      <c r="L20" t="s">
        <v>5</v>
      </c>
      <c r="M20">
        <f>CORREL(C18:C29,B18:B29)</f>
        <v>1</v>
      </c>
    </row>
    <row r="21" spans="1:13" x14ac:dyDescent="0.2">
      <c r="A21">
        <v>4</v>
      </c>
      <c r="D21" t="s">
        <v>3</v>
      </c>
    </row>
    <row r="22" spans="1:13" x14ac:dyDescent="0.2">
      <c r="A22">
        <v>5</v>
      </c>
    </row>
    <row r="23" spans="1:13" x14ac:dyDescent="0.2">
      <c r="A23">
        <v>6</v>
      </c>
    </row>
    <row r="24" spans="1:13" x14ac:dyDescent="0.2">
      <c r="A24">
        <v>7</v>
      </c>
      <c r="B24">
        <v>5.5768249999999998E-2</v>
      </c>
      <c r="C24">
        <v>4.7154689999999997</v>
      </c>
    </row>
    <row r="25" spans="1:13" x14ac:dyDescent="0.2">
      <c r="A25">
        <v>8</v>
      </c>
    </row>
    <row r="26" spans="1:13" x14ac:dyDescent="0.2">
      <c r="A26">
        <v>9</v>
      </c>
      <c r="D26" t="s">
        <v>4</v>
      </c>
    </row>
    <row r="27" spans="1:13" x14ac:dyDescent="0.2">
      <c r="A27">
        <v>10</v>
      </c>
    </row>
    <row r="28" spans="1:13" x14ac:dyDescent="0.2">
      <c r="A28">
        <v>11</v>
      </c>
    </row>
    <row r="29" spans="1:13" x14ac:dyDescent="0.2">
      <c r="A29">
        <v>12</v>
      </c>
      <c r="B29">
        <v>5.5304152000000002E-2</v>
      </c>
      <c r="C29">
        <v>2.4929640000000002</v>
      </c>
    </row>
    <row r="33" spans="1:13" x14ac:dyDescent="0.2">
      <c r="A33" t="s">
        <v>0</v>
      </c>
      <c r="B33" t="s">
        <v>1</v>
      </c>
      <c r="C33" t="s">
        <v>2</v>
      </c>
    </row>
    <row r="34" spans="1:13" x14ac:dyDescent="0.2">
      <c r="A34">
        <v>1</v>
      </c>
      <c r="B34">
        <v>-8.9864090000000008E-3</v>
      </c>
      <c r="C34">
        <v>2.1459359999999998</v>
      </c>
    </row>
    <row r="35" spans="1:13" x14ac:dyDescent="0.2">
      <c r="A35">
        <v>2</v>
      </c>
      <c r="B35">
        <v>-7.0764041999999999E-2</v>
      </c>
      <c r="C35">
        <v>0.74672099999999997</v>
      </c>
    </row>
    <row r="36" spans="1:13" x14ac:dyDescent="0.2">
      <c r="A36">
        <v>3</v>
      </c>
      <c r="B36">
        <v>1.9098905999999999E-2</v>
      </c>
      <c r="C36">
        <v>2.266483</v>
      </c>
      <c r="L36" t="s">
        <v>5</v>
      </c>
      <c r="M36">
        <f>CORREL(C34:C45,B34:B45)</f>
        <v>0.54409720592532473</v>
      </c>
    </row>
    <row r="37" spans="1:13" x14ac:dyDescent="0.2">
      <c r="A37">
        <v>4</v>
      </c>
      <c r="D37" t="s">
        <v>3</v>
      </c>
    </row>
    <row r="38" spans="1:13" x14ac:dyDescent="0.2">
      <c r="A38">
        <v>5</v>
      </c>
      <c r="B38">
        <v>-1.361688E-2</v>
      </c>
      <c r="C38">
        <v>3.1496979999999999</v>
      </c>
    </row>
    <row r="39" spans="1:13" x14ac:dyDescent="0.2">
      <c r="A39">
        <v>6</v>
      </c>
      <c r="B39">
        <v>8.6388139999999999E-3</v>
      </c>
      <c r="C39">
        <v>1.3315170000000001</v>
      </c>
    </row>
    <row r="40" spans="1:13" x14ac:dyDescent="0.2">
      <c r="A40">
        <v>7</v>
      </c>
    </row>
    <row r="41" spans="1:13" x14ac:dyDescent="0.2">
      <c r="A41">
        <v>8</v>
      </c>
      <c r="B41">
        <v>1.9324102999999999E-2</v>
      </c>
      <c r="C41">
        <v>1.595407</v>
      </c>
    </row>
    <row r="42" spans="1:13" x14ac:dyDescent="0.2">
      <c r="A42">
        <v>9</v>
      </c>
      <c r="D42" t="s">
        <v>4</v>
      </c>
    </row>
    <row r="43" spans="1:13" x14ac:dyDescent="0.2">
      <c r="A43">
        <v>10</v>
      </c>
      <c r="B43">
        <v>-7.7793280000000003E-3</v>
      </c>
      <c r="C43">
        <v>1.3538140000000001</v>
      </c>
    </row>
    <row r="44" spans="1:13" x14ac:dyDescent="0.2">
      <c r="A44">
        <v>11</v>
      </c>
      <c r="B44">
        <v>3.3507642999999997E-2</v>
      </c>
      <c r="C44">
        <v>3.1974629999999999</v>
      </c>
    </row>
    <row r="45" spans="1:13" x14ac:dyDescent="0.2">
      <c r="A45">
        <v>12</v>
      </c>
    </row>
    <row r="49" spans="1:13" x14ac:dyDescent="0.2">
      <c r="A49" t="s">
        <v>0</v>
      </c>
      <c r="B49" t="s">
        <v>1</v>
      </c>
      <c r="C49" t="s">
        <v>2</v>
      </c>
    </row>
    <row r="50" spans="1:13" x14ac:dyDescent="0.2">
      <c r="A50">
        <v>1</v>
      </c>
    </row>
    <row r="51" spans="1:13" x14ac:dyDescent="0.2">
      <c r="A51">
        <v>2</v>
      </c>
    </row>
    <row r="52" spans="1:13" x14ac:dyDescent="0.2">
      <c r="A52">
        <v>3</v>
      </c>
      <c r="B52">
        <v>1.9098905999999999E-2</v>
      </c>
      <c r="C52">
        <v>2.266483</v>
      </c>
      <c r="L52" t="s">
        <v>5</v>
      </c>
      <c r="M52">
        <f>CORREL(C50:C61,B50:B61)</f>
        <v>0.6909447202071346</v>
      </c>
    </row>
    <row r="53" spans="1:13" x14ac:dyDescent="0.2">
      <c r="A53">
        <v>4</v>
      </c>
      <c r="D53" t="s">
        <v>3</v>
      </c>
    </row>
    <row r="54" spans="1:13" x14ac:dyDescent="0.2">
      <c r="A54">
        <v>5</v>
      </c>
    </row>
    <row r="55" spans="1:13" x14ac:dyDescent="0.2">
      <c r="A55">
        <v>6</v>
      </c>
    </row>
    <row r="56" spans="1:13" x14ac:dyDescent="0.2">
      <c r="A56">
        <v>7</v>
      </c>
      <c r="B56">
        <v>5.5768249999999998E-2</v>
      </c>
      <c r="C56">
        <v>4.7154689999999997</v>
      </c>
    </row>
    <row r="57" spans="1:13" x14ac:dyDescent="0.2">
      <c r="A57">
        <v>8</v>
      </c>
      <c r="B57">
        <v>1.9324102999999999E-2</v>
      </c>
      <c r="C57">
        <v>1.595407</v>
      </c>
    </row>
    <row r="58" spans="1:13" x14ac:dyDescent="0.2">
      <c r="A58">
        <v>9</v>
      </c>
      <c r="D58" t="s">
        <v>4</v>
      </c>
    </row>
    <row r="59" spans="1:13" x14ac:dyDescent="0.2">
      <c r="A59">
        <v>10</v>
      </c>
    </row>
    <row r="60" spans="1:13" x14ac:dyDescent="0.2">
      <c r="A60">
        <v>11</v>
      </c>
      <c r="B60">
        <v>3.3507642999999997E-2</v>
      </c>
      <c r="C60">
        <v>3.1974629999999999</v>
      </c>
    </row>
    <row r="61" spans="1:13" x14ac:dyDescent="0.2">
      <c r="A61">
        <v>12</v>
      </c>
      <c r="B61">
        <v>5.5304152000000002E-2</v>
      </c>
      <c r="C61">
        <v>2.4929640000000002</v>
      </c>
    </row>
    <row r="65" spans="1:13" x14ac:dyDescent="0.2">
      <c r="A65" t="s">
        <v>0</v>
      </c>
      <c r="B65" t="s">
        <v>1</v>
      </c>
      <c r="C65" t="s">
        <v>2</v>
      </c>
    </row>
    <row r="66" spans="1:13" x14ac:dyDescent="0.2">
      <c r="A66">
        <v>1</v>
      </c>
      <c r="B66">
        <v>-8.9864090000000008E-3</v>
      </c>
      <c r="C66">
        <v>2.1459359999999998</v>
      </c>
    </row>
    <row r="67" spans="1:13" x14ac:dyDescent="0.2">
      <c r="A67">
        <v>2</v>
      </c>
      <c r="B67">
        <v>-7.0764041999999999E-2</v>
      </c>
      <c r="C67">
        <v>0.74672099999999997</v>
      </c>
    </row>
    <row r="68" spans="1:13" x14ac:dyDescent="0.2">
      <c r="A68">
        <v>3</v>
      </c>
      <c r="L68" t="s">
        <v>5</v>
      </c>
      <c r="M68">
        <f>CORREL(C66:C77,B66:B77)</f>
        <v>0.41970175235053775</v>
      </c>
    </row>
    <row r="69" spans="1:13" x14ac:dyDescent="0.2">
      <c r="A69">
        <v>4</v>
      </c>
      <c r="D69" t="s">
        <v>3</v>
      </c>
    </row>
    <row r="70" spans="1:13" x14ac:dyDescent="0.2">
      <c r="A70">
        <v>5</v>
      </c>
      <c r="B70">
        <v>-1.361688E-2</v>
      </c>
      <c r="C70">
        <v>3.1496979999999999</v>
      </c>
    </row>
    <row r="71" spans="1:13" x14ac:dyDescent="0.2">
      <c r="A71">
        <v>6</v>
      </c>
      <c r="B71">
        <v>8.6388139999999999E-3</v>
      </c>
      <c r="C71">
        <v>1.3315170000000001</v>
      </c>
    </row>
    <row r="72" spans="1:13" x14ac:dyDescent="0.2">
      <c r="A72">
        <v>7</v>
      </c>
    </row>
    <row r="73" spans="1:13" x14ac:dyDescent="0.2">
      <c r="A73">
        <v>8</v>
      </c>
    </row>
    <row r="74" spans="1:13" x14ac:dyDescent="0.2">
      <c r="A74">
        <v>9</v>
      </c>
      <c r="D74" t="s">
        <v>4</v>
      </c>
    </row>
    <row r="75" spans="1:13" x14ac:dyDescent="0.2">
      <c r="A75">
        <v>10</v>
      </c>
      <c r="B75">
        <v>-7.7793280000000003E-3</v>
      </c>
      <c r="C75">
        <v>1.3538140000000001</v>
      </c>
    </row>
    <row r="76" spans="1:13" x14ac:dyDescent="0.2">
      <c r="A76">
        <v>11</v>
      </c>
    </row>
    <row r="77" spans="1:13" x14ac:dyDescent="0.2">
      <c r="A77">
        <v>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9ECFC-F9B1-324D-85E2-CF56294FF12A}">
  <dimension ref="A1:G13"/>
  <sheetViews>
    <sheetView workbookViewId="0">
      <selection activeCell="C9" sqref="C9"/>
    </sheetView>
  </sheetViews>
  <sheetFormatPr baseColWidth="10" defaultRowHeight="16" x14ac:dyDescent="0.2"/>
  <sheetData>
    <row r="1" spans="1:7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</row>
    <row r="2" spans="1:7" x14ac:dyDescent="0.2">
      <c r="A2" s="1">
        <v>9</v>
      </c>
      <c r="B2" s="1"/>
      <c r="C2" s="1"/>
      <c r="D2" s="1">
        <v>-0.22066379999999999</v>
      </c>
      <c r="E2" s="1"/>
      <c r="F2" s="1"/>
      <c r="G2" s="1"/>
    </row>
    <row r="3" spans="1:7" x14ac:dyDescent="0.2">
      <c r="A3" s="1">
        <v>1</v>
      </c>
      <c r="B3" s="1">
        <v>-8.9864000000000003E-3</v>
      </c>
      <c r="C3" s="1">
        <v>2.1459359999999998</v>
      </c>
      <c r="D3" s="1"/>
      <c r="E3" s="1"/>
      <c r="F3" s="1"/>
      <c r="G3" s="1"/>
    </row>
    <row r="4" spans="1:7" x14ac:dyDescent="0.2">
      <c r="A4" s="1">
        <v>2</v>
      </c>
      <c r="B4" s="1">
        <v>-7.0763999999999994E-2</v>
      </c>
      <c r="C4" s="1">
        <v>0.74672099999999997</v>
      </c>
      <c r="D4" s="1"/>
      <c r="E4" s="1"/>
      <c r="F4" s="1"/>
      <c r="G4" s="1"/>
    </row>
    <row r="5" spans="1:7" x14ac:dyDescent="0.2">
      <c r="A5" s="1">
        <v>3</v>
      </c>
      <c r="B5" s="1">
        <v>1.909891E-2</v>
      </c>
      <c r="C5" s="1">
        <v>2.266483</v>
      </c>
      <c r="D5" s="1"/>
      <c r="E5" s="1"/>
      <c r="F5" s="1"/>
      <c r="G5" s="1"/>
    </row>
    <row r="6" spans="1:7" x14ac:dyDescent="0.2">
      <c r="A6" s="1">
        <v>4</v>
      </c>
      <c r="B6" s="1">
        <v>3.064716E-2</v>
      </c>
      <c r="C6" s="1">
        <v>9.945316</v>
      </c>
      <c r="D6" s="1"/>
      <c r="E6" s="1" t="s">
        <v>3</v>
      </c>
      <c r="F6" s="1"/>
      <c r="G6" s="1"/>
    </row>
    <row r="7" spans="1:7" x14ac:dyDescent="0.2">
      <c r="A7" s="1">
        <v>5</v>
      </c>
      <c r="B7" s="1">
        <v>-1.3616899999999999E-2</v>
      </c>
      <c r="C7" s="1">
        <v>3.1496979999999999</v>
      </c>
      <c r="D7" s="1"/>
      <c r="E7" s="1"/>
      <c r="F7" s="1"/>
      <c r="G7" s="1"/>
    </row>
    <row r="8" spans="1:7" x14ac:dyDescent="0.2">
      <c r="A8" s="1">
        <v>6</v>
      </c>
      <c r="B8" s="1">
        <v>8.6388100000000002E-3</v>
      </c>
      <c r="C8" s="1">
        <v>1.3315170000000001</v>
      </c>
      <c r="D8" s="1"/>
      <c r="E8" s="1"/>
      <c r="F8" s="1"/>
      <c r="G8" s="1"/>
    </row>
    <row r="9" spans="1:7" x14ac:dyDescent="0.2">
      <c r="A9" s="1">
        <v>7</v>
      </c>
      <c r="B9" s="1">
        <v>5.5768249999999998E-2</v>
      </c>
      <c r="C9" s="1">
        <v>4.7154689999999997</v>
      </c>
      <c r="D9" s="1"/>
      <c r="E9" s="1"/>
      <c r="F9" s="1"/>
      <c r="G9" s="1"/>
    </row>
    <row r="10" spans="1:7" x14ac:dyDescent="0.2">
      <c r="A10" s="1">
        <v>8</v>
      </c>
      <c r="B10" s="1">
        <v>1.93241E-2</v>
      </c>
      <c r="C10" s="1">
        <v>1.595407</v>
      </c>
      <c r="D10" s="1"/>
      <c r="E10" s="1"/>
      <c r="F10" s="1"/>
      <c r="G10" s="1"/>
    </row>
    <row r="11" spans="1:7" x14ac:dyDescent="0.2">
      <c r="A11" s="1">
        <v>10</v>
      </c>
      <c r="B11" s="1">
        <v>-7.7793000000000003E-3</v>
      </c>
      <c r="C11" s="1">
        <v>1.3538140000000001</v>
      </c>
      <c r="D11" s="1"/>
      <c r="E11" s="1"/>
      <c r="F11" s="1"/>
      <c r="G11" s="1"/>
    </row>
    <row r="12" spans="1:7" x14ac:dyDescent="0.2">
      <c r="A12" s="1">
        <v>11</v>
      </c>
      <c r="B12" s="1">
        <v>3.3507639999999998E-2</v>
      </c>
      <c r="C12" s="1">
        <v>3.1974629999999999</v>
      </c>
      <c r="D12" s="1"/>
      <c r="E12" s="1"/>
      <c r="F12" s="1"/>
      <c r="G12" s="1"/>
    </row>
    <row r="13" spans="1:7" x14ac:dyDescent="0.2">
      <c r="A13" s="1">
        <v>12</v>
      </c>
      <c r="B13" s="1">
        <v>5.5304150000000003E-2</v>
      </c>
      <c r="C13" s="1">
        <v>2.4929640000000002</v>
      </c>
      <c r="D13" s="1"/>
      <c r="E13" s="1"/>
      <c r="F13" s="1"/>
      <c r="G13" s="1"/>
    </row>
  </sheetData>
  <sortState xmlns:xlrd2="http://schemas.microsoft.com/office/spreadsheetml/2017/richdata2" ref="A2:D13">
    <sortCondition ref="D13"/>
  </sortState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Regression</vt:lpstr>
      <vt:lpstr>Outlier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 Liao</dc:creator>
  <cp:lastModifiedBy>Phil Liao</cp:lastModifiedBy>
  <dcterms:created xsi:type="dcterms:W3CDTF">2025-07-10T02:20:35Z</dcterms:created>
  <dcterms:modified xsi:type="dcterms:W3CDTF">2025-07-10T03:18:36Z</dcterms:modified>
</cp:coreProperties>
</file>