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R_T2W/"/>
    </mc:Choice>
  </mc:AlternateContent>
  <xr:revisionPtr revIDLastSave="0" documentId="13_ncr:9_{167DFCAE-1D25-0343-84A5-3ED429DD7487}" xr6:coauthVersionLast="47" xr6:coauthVersionMax="47" xr10:uidLastSave="{00000000-0000-0000-0000-000000000000}"/>
  <bookViews>
    <workbookView xWindow="0" yWindow="640" windowWidth="25600" windowHeight="16000" xr2:uid="{90DD965B-7C23-E944-BE8B-C22836C14490}"/>
  </bookViews>
  <sheets>
    <sheet name="2var_atsbr_t2w_CARPOOL.xlsx" sheetId="1" r:id="rId1"/>
    <sheet name="Outlier 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36" i="1" l="1"/>
  <c r="L20" i="1"/>
  <c r="L4" i="1"/>
</calcChain>
</file>

<file path=xl/sharedStrings.xml><?xml version="1.0" encoding="utf-8"?>
<sst xmlns="http://purl.oclc.org/ooxml/spreadsheetml/main" count="16" uniqueCount="5">
  <si>
    <t>district_name</t>
  </si>
  <si>
    <t>speed_acr</t>
  </si>
  <si>
    <t>CARPOOL_percent</t>
  </si>
  <si>
    <t>Missing Data</t>
  </si>
  <si>
    <t>r value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</si>
</sst>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Carpool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17936381187269E-2"/>
                  <c:y val="0.21300498511511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'2var_atsbr_t2w_CARPOOL.xlsx'!$C$2:$C$13</c:f>
              <c:numCache>
                <c:formatCode>General</c:formatCode>
                <c:ptCount val="12"/>
                <c:pt idx="0">
                  <c:v>25.331689999999998</c:v>
                </c:pt>
                <c:pt idx="1">
                  <c:v>10.98541</c:v>
                </c:pt>
                <c:pt idx="2">
                  <c:v>39.341079999999998</c:v>
                </c:pt>
                <c:pt idx="3">
                  <c:v>12.56434</c:v>
                </c:pt>
                <c:pt idx="4">
                  <c:v>24.90231</c:v>
                </c:pt>
                <c:pt idx="5">
                  <c:v>23.705850000000002</c:v>
                </c:pt>
                <c:pt idx="6">
                  <c:v>44.66028</c:v>
                </c:pt>
                <c:pt idx="7">
                  <c:v>33.988129999999998</c:v>
                </c:pt>
                <c:pt idx="9">
                  <c:v>20.73094</c:v>
                </c:pt>
                <c:pt idx="10">
                  <c:v>10.663930000000001</c:v>
                </c:pt>
                <c:pt idx="11">
                  <c:v>49.626179999999998</c:v>
                </c:pt>
              </c:numCache>
            </c:numRef>
          </c:xVal>
          <c:yVal>
            <c:numRef>
              <c:f>'2var_atsbr_t2w_CARPOOL.xlsx'!$B$2:$B$13</c:f>
              <c:numCache>
                <c:formatCode>General</c:formatCode>
                <c:ptCount val="12"/>
                <c:pt idx="0">
                  <c:v>-8.9864090000000008E-3</c:v>
                </c:pt>
                <c:pt idx="1">
                  <c:v>-7.0764041999999999E-2</c:v>
                </c:pt>
                <c:pt idx="2">
                  <c:v>1.9098905999999999E-2</c:v>
                </c:pt>
                <c:pt idx="3">
                  <c:v>3.0647164000000001E-2</c:v>
                </c:pt>
                <c:pt idx="4">
                  <c:v>-1.361688E-2</c:v>
                </c:pt>
                <c:pt idx="5">
                  <c:v>8.6388139999999999E-3</c:v>
                </c:pt>
                <c:pt idx="6">
                  <c:v>5.5768249999999998E-2</c:v>
                </c:pt>
                <c:pt idx="7">
                  <c:v>1.9324102999999999E-2</c:v>
                </c:pt>
                <c:pt idx="9">
                  <c:v>-7.7793280000000003E-3</c:v>
                </c:pt>
                <c:pt idx="10">
                  <c:v>3.3507642999999997E-2</c:v>
                </c:pt>
                <c:pt idx="11">
                  <c:v>5.5304152000000002E-2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A-7847-AD47-4A5A962A6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Carpool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Carpool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17936381187269E-2"/>
                  <c:y val="0.21300498511511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'2var_atsbr_t2w_CARPOOL.xlsx'!$C$18:$C$29</c:f>
              <c:numCache>
                <c:formatCode>General</c:formatCode>
                <c:ptCount val="12"/>
                <c:pt idx="3">
                  <c:v>12.56434</c:v>
                </c:pt>
                <c:pt idx="6">
                  <c:v>44.66028</c:v>
                </c:pt>
                <c:pt idx="11">
                  <c:v>49.626179999999998</c:v>
                </c:pt>
              </c:numCache>
            </c:numRef>
          </c:xVal>
          <c:yVal>
            <c:numRef>
              <c:f>'2var_atsbr_t2w_CARPOOL.xlsx'!$B$18:$B$29</c:f>
              <c:numCache>
                <c:formatCode>General</c:formatCode>
                <c:ptCount val="12"/>
                <c:pt idx="3">
                  <c:v>3.0647164000000001E-2</c:v>
                </c:pt>
                <c:pt idx="6">
                  <c:v>5.5768249999999998E-2</c:v>
                </c:pt>
                <c:pt idx="11">
                  <c:v>5.5304152000000002E-2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E2-D146-B5E1-57EC8E00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Carpool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Carpool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17936381187269E-2"/>
                  <c:y val="0.21300498511511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'2var_atsbr_t2w_CARPOOL.xlsx'!$C$34:$C$45</c:f>
              <c:numCache>
                <c:formatCode>General</c:formatCode>
                <c:ptCount val="12"/>
                <c:pt idx="0">
                  <c:v>25.331689999999998</c:v>
                </c:pt>
                <c:pt idx="1">
                  <c:v>10.98541</c:v>
                </c:pt>
                <c:pt idx="2">
                  <c:v>39.341079999999998</c:v>
                </c:pt>
                <c:pt idx="4">
                  <c:v>24.90231</c:v>
                </c:pt>
                <c:pt idx="5">
                  <c:v>23.705850000000002</c:v>
                </c:pt>
                <c:pt idx="7">
                  <c:v>33.988129999999998</c:v>
                </c:pt>
                <c:pt idx="9">
                  <c:v>20.73094</c:v>
                </c:pt>
                <c:pt idx="10">
                  <c:v>10.663930000000001</c:v>
                </c:pt>
              </c:numCache>
            </c:numRef>
          </c:xVal>
          <c:yVal>
            <c:numRef>
              <c:f>'2var_atsbr_t2w_CARPOOL.xlsx'!$B$34:$B$45</c:f>
              <c:numCache>
                <c:formatCode>General</c:formatCode>
                <c:ptCount val="12"/>
                <c:pt idx="0">
                  <c:v>-8.9864090000000008E-3</c:v>
                </c:pt>
                <c:pt idx="1">
                  <c:v>-7.0764041999999999E-2</c:v>
                </c:pt>
                <c:pt idx="2">
                  <c:v>1.9098905999999999E-2</c:v>
                </c:pt>
                <c:pt idx="4">
                  <c:v>-1.361688E-2</c:v>
                </c:pt>
                <c:pt idx="5">
                  <c:v>8.6388139999999999E-3</c:v>
                </c:pt>
                <c:pt idx="7">
                  <c:v>1.9324102999999999E-2</c:v>
                </c:pt>
                <c:pt idx="9">
                  <c:v>-7.7793280000000003E-3</c:v>
                </c:pt>
                <c:pt idx="10">
                  <c:v>3.3507642999999997E-2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97-2149-974C-FA46CEA08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Carpool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6350</xdr:colOff>
      <xdr:row>0</xdr:row>
      <xdr:rowOff>6350</xdr:rowOff>
    </xdr:from>
    <xdr:to>
      <xdr:col>10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3D68B-0D84-3FBD-6415-C943A1F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9</xdr:col>
      <xdr:colOff>819150</xdr:colOff>
      <xdr:row>29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A1BBE-FFD7-164E-9EC7-2AAADB8A0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9</xdr:col>
      <xdr:colOff>819150</xdr:colOff>
      <xdr:row>45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3ADA0-DF03-4A49-B053-6D409EE98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64F2-7991-2B47-9E93-FCDC568DD205}">
  <dimension ref="A1:L45"/>
  <sheetViews>
    <sheetView tabSelected="1" topLeftCell="A17" workbookViewId="0">
      <selection activeCell="L39" sqref="L39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>
        <v>1</v>
      </c>
      <c r="B2">
        <v>-8.9864090000000008E-3</v>
      </c>
      <c r="C2">
        <v>25.331689999999998</v>
      </c>
    </row>
    <row r="3" spans="1:12" x14ac:dyDescent="0.2">
      <c r="A3">
        <v>2</v>
      </c>
      <c r="B3">
        <v>-7.0764041999999999E-2</v>
      </c>
      <c r="C3">
        <v>10.98541</v>
      </c>
    </row>
    <row r="4" spans="1:12" x14ac:dyDescent="0.2">
      <c r="A4">
        <v>3</v>
      </c>
      <c r="B4">
        <v>1.9098905999999999E-2</v>
      </c>
      <c r="C4">
        <v>39.341079999999998</v>
      </c>
      <c r="K4" t="s">
        <v>4</v>
      </c>
      <c r="L4">
        <f>CORREL(C2:C13, B2:B13)</f>
        <v>0.57969270187699318</v>
      </c>
    </row>
    <row r="5" spans="1:12" x14ac:dyDescent="0.2">
      <c r="A5">
        <v>4</v>
      </c>
      <c r="B5">
        <v>3.0647164000000001E-2</v>
      </c>
      <c r="C5">
        <v>12.56434</v>
      </c>
    </row>
    <row r="6" spans="1:12" x14ac:dyDescent="0.2">
      <c r="A6">
        <v>5</v>
      </c>
      <c r="B6">
        <v>-1.361688E-2</v>
      </c>
      <c r="C6">
        <v>24.90231</v>
      </c>
    </row>
    <row r="7" spans="1:12" x14ac:dyDescent="0.2">
      <c r="A7">
        <v>6</v>
      </c>
      <c r="B7">
        <v>8.6388139999999999E-3</v>
      </c>
      <c r="C7">
        <v>23.705850000000002</v>
      </c>
    </row>
    <row r="8" spans="1:12" x14ac:dyDescent="0.2">
      <c r="A8">
        <v>7</v>
      </c>
      <c r="B8">
        <v>5.5768249999999998E-2</v>
      </c>
      <c r="C8">
        <v>44.66028</v>
      </c>
    </row>
    <row r="9" spans="1:12" x14ac:dyDescent="0.2">
      <c r="A9">
        <v>8</v>
      </c>
      <c r="B9">
        <v>1.9324102999999999E-2</v>
      </c>
      <c r="C9">
        <v>33.988129999999998</v>
      </c>
    </row>
    <row r="10" spans="1:12" x14ac:dyDescent="0.2">
      <c r="A10">
        <v>9</v>
      </c>
      <c r="D10">
        <v>-0.220663843</v>
      </c>
    </row>
    <row r="11" spans="1:12" x14ac:dyDescent="0.2">
      <c r="A11">
        <v>10</v>
      </c>
      <c r="B11">
        <v>-7.7793280000000003E-3</v>
      </c>
      <c r="C11">
        <v>20.73094</v>
      </c>
    </row>
    <row r="12" spans="1:12" x14ac:dyDescent="0.2">
      <c r="A12">
        <v>11</v>
      </c>
      <c r="B12">
        <v>3.3507642999999997E-2</v>
      </c>
      <c r="C12">
        <v>10.663930000000001</v>
      </c>
    </row>
    <row r="13" spans="1:12" x14ac:dyDescent="0.2">
      <c r="A13">
        <v>12</v>
      </c>
      <c r="B13">
        <v>5.5304152000000002E-2</v>
      </c>
      <c r="C13">
        <v>49.626179999999998</v>
      </c>
    </row>
    <row r="17" spans="1:12" x14ac:dyDescent="0.2">
      <c r="A17" t="s">
        <v>0</v>
      </c>
      <c r="B17" t="s">
        <v>1</v>
      </c>
      <c r="C17" t="s">
        <v>2</v>
      </c>
    </row>
    <row r="18" spans="1:12" x14ac:dyDescent="0.2">
      <c r="A18">
        <v>1</v>
      </c>
    </row>
    <row r="19" spans="1:12" x14ac:dyDescent="0.2">
      <c r="A19">
        <v>2</v>
      </c>
    </row>
    <row r="20" spans="1:12" x14ac:dyDescent="0.2">
      <c r="A20">
        <v>3</v>
      </c>
      <c r="K20" t="s">
        <v>4</v>
      </c>
      <c r="L20">
        <f>CORREL(C18:C29, B18:B29)</f>
        <v>0.99023241660327244</v>
      </c>
    </row>
    <row r="21" spans="1:12" x14ac:dyDescent="0.2">
      <c r="A21">
        <v>4</v>
      </c>
      <c r="B21">
        <v>3.0647164000000001E-2</v>
      </c>
      <c r="C21">
        <v>12.56434</v>
      </c>
    </row>
    <row r="22" spans="1:12" x14ac:dyDescent="0.2">
      <c r="A22">
        <v>5</v>
      </c>
    </row>
    <row r="23" spans="1:12" x14ac:dyDescent="0.2">
      <c r="A23">
        <v>6</v>
      </c>
    </row>
    <row r="24" spans="1:12" x14ac:dyDescent="0.2">
      <c r="A24">
        <v>7</v>
      </c>
      <c r="B24">
        <v>5.5768249999999998E-2</v>
      </c>
      <c r="C24">
        <v>44.66028</v>
      </c>
    </row>
    <row r="25" spans="1:12" x14ac:dyDescent="0.2">
      <c r="A25">
        <v>8</v>
      </c>
    </row>
    <row r="26" spans="1:12" x14ac:dyDescent="0.2">
      <c r="A26">
        <v>9</v>
      </c>
    </row>
    <row r="27" spans="1:12" x14ac:dyDescent="0.2">
      <c r="A27">
        <v>10</v>
      </c>
    </row>
    <row r="28" spans="1:12" x14ac:dyDescent="0.2">
      <c r="A28">
        <v>11</v>
      </c>
    </row>
    <row r="29" spans="1:12" x14ac:dyDescent="0.2">
      <c r="A29">
        <v>12</v>
      </c>
      <c r="B29">
        <v>5.5304152000000002E-2</v>
      </c>
      <c r="C29">
        <v>49.626179999999998</v>
      </c>
    </row>
    <row r="33" spans="1:12" x14ac:dyDescent="0.2">
      <c r="A33" t="s">
        <v>0</v>
      </c>
      <c r="B33" t="s">
        <v>1</v>
      </c>
      <c r="C33" t="s">
        <v>2</v>
      </c>
    </row>
    <row r="34" spans="1:12" x14ac:dyDescent="0.2">
      <c r="A34">
        <v>1</v>
      </c>
      <c r="B34">
        <v>-8.9864090000000008E-3</v>
      </c>
      <c r="C34">
        <v>25.331689999999998</v>
      </c>
    </row>
    <row r="35" spans="1:12" x14ac:dyDescent="0.2">
      <c r="A35">
        <v>2</v>
      </c>
      <c r="B35">
        <v>-7.0764041999999999E-2</v>
      </c>
      <c r="C35">
        <v>10.98541</v>
      </c>
    </row>
    <row r="36" spans="1:12" x14ac:dyDescent="0.2">
      <c r="A36">
        <v>3</v>
      </c>
      <c r="B36">
        <v>1.9098905999999999E-2</v>
      </c>
      <c r="C36">
        <v>39.341079999999998</v>
      </c>
      <c r="K36" t="s">
        <v>4</v>
      </c>
      <c r="L36">
        <f>CORREL(C34:C45, B34:B45)</f>
        <v>0.42538947809582711</v>
      </c>
    </row>
    <row r="37" spans="1:12" x14ac:dyDescent="0.2">
      <c r="A37">
        <v>4</v>
      </c>
    </row>
    <row r="38" spans="1:12" x14ac:dyDescent="0.2">
      <c r="A38">
        <v>5</v>
      </c>
      <c r="B38">
        <v>-1.361688E-2</v>
      </c>
      <c r="C38">
        <v>24.90231</v>
      </c>
    </row>
    <row r="39" spans="1:12" x14ac:dyDescent="0.2">
      <c r="A39">
        <v>6</v>
      </c>
      <c r="B39">
        <v>8.6388139999999999E-3</v>
      </c>
      <c r="C39">
        <v>23.705850000000002</v>
      </c>
    </row>
    <row r="40" spans="1:12" x14ac:dyDescent="0.2">
      <c r="A40">
        <v>7</v>
      </c>
    </row>
    <row r="41" spans="1:12" x14ac:dyDescent="0.2">
      <c r="A41">
        <v>8</v>
      </c>
      <c r="B41">
        <v>1.9324102999999999E-2</v>
      </c>
      <c r="C41">
        <v>33.988129999999998</v>
      </c>
    </row>
    <row r="42" spans="1:12" x14ac:dyDescent="0.2">
      <c r="A42">
        <v>9</v>
      </c>
    </row>
    <row r="43" spans="1:12" x14ac:dyDescent="0.2">
      <c r="A43">
        <v>10</v>
      </c>
      <c r="B43">
        <v>-7.7793280000000003E-3</v>
      </c>
      <c r="C43">
        <v>20.73094</v>
      </c>
    </row>
    <row r="44" spans="1:12" x14ac:dyDescent="0.2">
      <c r="A44">
        <v>11</v>
      </c>
      <c r="B44">
        <v>3.3507642999999997E-2</v>
      </c>
      <c r="C44">
        <v>10.663930000000001</v>
      </c>
    </row>
    <row r="45" spans="1:12" x14ac:dyDescent="0.2">
      <c r="A45">
        <v>12</v>
      </c>
    </row>
  </sheetData>
  <pageMargins left="0.75" right="0.75" top="1" bottom="1" header="0.5" footer="0.5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57AE-290F-8745-9285-7CFA61F865F6}">
  <dimension ref="A1:E13"/>
  <sheetViews>
    <sheetView workbookViewId="0">
      <selection activeCell="E10" sqref="E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/>
    </row>
    <row r="2" spans="1:5" x14ac:dyDescent="0.2">
      <c r="A2" s="1">
        <v>1</v>
      </c>
      <c r="B2" s="1">
        <v>-8.9864000000000003E-3</v>
      </c>
      <c r="C2" s="1">
        <v>25.331689999999998</v>
      </c>
      <c r="D2" s="1"/>
    </row>
    <row r="3" spans="1:5" x14ac:dyDescent="0.2">
      <c r="A3" s="1">
        <v>2</v>
      </c>
      <c r="B3" s="1">
        <v>-7.0763999999999994E-2</v>
      </c>
      <c r="C3" s="1">
        <v>10.98541</v>
      </c>
      <c r="D3" s="1"/>
    </row>
    <row r="4" spans="1:5" x14ac:dyDescent="0.2">
      <c r="A4" s="1">
        <v>3</v>
      </c>
      <c r="B4" s="1">
        <v>1.909891E-2</v>
      </c>
      <c r="C4" s="1">
        <v>39.341079999999998</v>
      </c>
      <c r="D4" s="1"/>
    </row>
    <row r="5" spans="1:5" x14ac:dyDescent="0.2">
      <c r="A5" s="1">
        <v>4</v>
      </c>
      <c r="B5" s="1">
        <v>3.064716E-2</v>
      </c>
      <c r="C5" s="1">
        <v>12.56434</v>
      </c>
      <c r="D5" s="1"/>
    </row>
    <row r="6" spans="1:5" x14ac:dyDescent="0.2">
      <c r="A6" s="1">
        <v>5</v>
      </c>
      <c r="B6" s="1">
        <v>-1.3616899999999999E-2</v>
      </c>
      <c r="C6" s="1">
        <v>24.90231</v>
      </c>
      <c r="D6" s="1"/>
    </row>
    <row r="7" spans="1:5" x14ac:dyDescent="0.2">
      <c r="A7" s="1">
        <v>6</v>
      </c>
      <c r="B7" s="1">
        <v>8.6388100000000002E-3</v>
      </c>
      <c r="C7" s="1">
        <v>23.705850000000002</v>
      </c>
      <c r="D7" s="1"/>
    </row>
    <row r="8" spans="1:5" x14ac:dyDescent="0.2">
      <c r="A8" s="1">
        <v>7</v>
      </c>
      <c r="B8" s="1">
        <v>5.5768249999999998E-2</v>
      </c>
      <c r="C8" s="1">
        <v>44.66028</v>
      </c>
      <c r="D8" s="1"/>
    </row>
    <row r="9" spans="1:5" x14ac:dyDescent="0.2">
      <c r="A9" s="1">
        <v>8</v>
      </c>
      <c r="B9" s="1">
        <v>1.93241E-2</v>
      </c>
      <c r="C9" s="1">
        <v>33.988129999999998</v>
      </c>
      <c r="D9" s="1"/>
    </row>
    <row r="10" spans="1:5" x14ac:dyDescent="0.2">
      <c r="A10" s="1">
        <v>9</v>
      </c>
      <c r="B10" s="1"/>
      <c r="C10" s="1"/>
      <c r="D10" s="1">
        <v>-0.22066379999999999</v>
      </c>
      <c r="E10" t="s">
        <v>3</v>
      </c>
    </row>
    <row r="11" spans="1:5" x14ac:dyDescent="0.2">
      <c r="A11" s="1">
        <v>10</v>
      </c>
      <c r="B11" s="1">
        <v>-7.7793000000000003E-3</v>
      </c>
      <c r="C11" s="1">
        <v>20.73094</v>
      </c>
      <c r="D11" s="1"/>
    </row>
    <row r="12" spans="1:5" x14ac:dyDescent="0.2">
      <c r="A12" s="1">
        <v>11</v>
      </c>
      <c r="B12" s="1">
        <v>3.3507639999999998E-2</v>
      </c>
      <c r="C12" s="1">
        <v>10.663930000000001</v>
      </c>
      <c r="D12" s="1"/>
    </row>
    <row r="13" spans="1:5" x14ac:dyDescent="0.2">
      <c r="A13" s="1">
        <v>12</v>
      </c>
      <c r="B13" s="1">
        <v>5.5304150000000003E-2</v>
      </c>
      <c r="C13" s="1">
        <v>49.626179999999998</v>
      </c>
      <c r="D13" s="1"/>
    </row>
  </sheetData>
  <pageMargins left="0.7" right="0.7" top="0.75" bottom="0.75" header="0.3" footer="0.3"/>
</worksheet>
</file>