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1003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philliao/Downloads/Code/IB-Math-IA/2VAR_ATSBR_T2W/"/>
    </mc:Choice>
  </mc:AlternateContent>
  <xr:revisionPtr revIDLastSave="0" documentId="13_ncr:9_{59A152CC-5930-474C-9291-C5DADA0E5436}" xr6:coauthVersionLast="47" xr6:coauthVersionMax="47" xr10:uidLastSave="{00000000-0000-0000-0000-000000000000}"/>
  <bookViews>
    <workbookView xWindow="3840" yWindow="660" windowWidth="21760" windowHeight="14320" xr2:uid="{90DD965B-7C23-E944-BE8B-C22836C14490}"/>
  </bookViews>
  <sheets>
    <sheet name="2var_atsbr_t2w_CARPOOL.xlsx" sheetId="1" r:id="rId1"/>
    <sheet name="Outlier " sheetId="2" r:id="rId2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AJ41" i="1" l="1"/>
  <c r="AG41" i="1"/>
  <c r="AG42" i="1"/>
  <c r="AG43" i="1"/>
  <c r="AG44" i="1"/>
  <c r="AG45" i="1"/>
  <c r="AG46" i="1"/>
  <c r="AG47" i="1"/>
  <c r="AG40" i="1"/>
  <c r="AE41" i="1"/>
  <c r="AE42" i="1"/>
  <c r="AE43" i="1"/>
  <c r="AE44" i="1"/>
  <c r="AE45" i="1"/>
  <c r="AE46" i="1"/>
  <c r="AE47" i="1"/>
  <c r="AE40" i="1"/>
  <c r="V41" i="1"/>
  <c r="S41" i="1"/>
  <c r="S42" i="1"/>
  <c r="S40" i="1"/>
  <c r="Q41" i="1"/>
  <c r="Q42" i="1"/>
  <c r="Q40" i="1"/>
  <c r="H41" i="1"/>
  <c r="E41" i="1"/>
  <c r="E42" i="1"/>
  <c r="E43" i="1"/>
  <c r="E44" i="1"/>
  <c r="E45" i="1"/>
  <c r="E46" i="1"/>
  <c r="E47" i="1"/>
  <c r="E48" i="1"/>
  <c r="E49" i="1"/>
  <c r="E50" i="1"/>
  <c r="E40" i="1"/>
  <c r="C41" i="1"/>
  <c r="C42" i="1"/>
  <c r="C43" i="1"/>
  <c r="C44" i="1"/>
  <c r="C45" i="1"/>
  <c r="C46" i="1"/>
  <c r="C47" i="1"/>
  <c r="C48" i="1"/>
  <c r="C49" i="1"/>
  <c r="C50" i="1"/>
  <c r="C40" i="1"/>
  <c r="AN4" i="1"/>
  <c r="Z4" i="1"/>
  <c r="L4" i="1"/>
</calcChain>
</file>

<file path=xl/sharedStrings.xml><?xml version="1.0" encoding="utf-8"?>
<sst xmlns="http://purl.oclc.org/ooxml/spreadsheetml/main" count="118" uniqueCount="31">
  <si>
    <t>district_name</t>
  </si>
  <si>
    <t>speed_acr</t>
  </si>
  <si>
    <t>CARPOOL_percent</t>
  </si>
  <si>
    <t>Missing Data</t>
  </si>
  <si>
    <t>r value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</si>
  <si>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</si>
  <si>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</si>
  <si>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</si>
  <si>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</si>
  <si>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</si>
  <si>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</si>
  <si>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</si>
  <si>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</si>
  <si>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</si>
  <si>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</si>
  <si>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</si>
  <si>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</si>
  <si>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</si>
  <si>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</si>
  <si>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</si>
  <si>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</si>
  <si>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</si>
  <si>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</si>
  <si>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</si>
  <si>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</si>
  <si>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</si>
  <si>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</si>
  <si>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</si>
  <si>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</si>
  <si>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speed_acr_rank</t>
  </si>
  <si>
    <t>rho=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</si>
</sst>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/>
      <end/>
      <top/>
      <bottom style="medium">
        <color indexed="64"/>
      </bottom>
      <diagonal/>
    </border>
    <border>
      <start/>
      <end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18" fillId="0" borderId="0" xfId="0" applyFont="1"/>
    <xf numFmtId="0" fontId="0" fillId="0" borderId="10" xfId="0" applyBorder="1"/>
    <xf numFmtId="0" fontId="19" fillId="0" borderId="11" xfId="0" applyFont="1" applyBorder="1" applyAlignment="1">
      <alignment horizontal="center"/>
    </xf>
    <xf numFmtId="0" fontId="19" fillId="0" borderId="11" xfId="0" applyFont="1" applyBorder="1" applyAlignment="1">
      <alignment horizontal="centerContinuous"/>
    </xf>
    <xf numFmtId="9" fontId="0" fillId="0" borderId="0" xfId="42" applyFont="1" applyFill="1" applyBorder="1" applyAlignment="1"/>
    <xf numFmtId="9" fontId="0" fillId="0" borderId="10" xfId="42" applyFont="1" applyFill="1" applyBorder="1" applyAlignme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theme" Target="theme/theme1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calcChain" Target="calcChain.xml"/><Relationship Id="rId5" Type="http://purl.oclc.org/ooxml/officeDocument/relationships/sharedStrings" Target="sharedStrings.xml"/><Relationship Id="rId4" Type="http://purl.oclc.org/ooxml/officeDocument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ATSBR CARPOOL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8369098278633015E-2"/>
                  <c:y val="0.4053987211330128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'2var_atsbr_t2w_CARPOOL.xlsx'!$C$2:$C$13</c:f>
              <c:numCache>
                <c:formatCode>General</c:formatCode>
                <c:ptCount val="12"/>
                <c:pt idx="0">
                  <c:v>25.331689999999998</c:v>
                </c:pt>
                <c:pt idx="1">
                  <c:v>10.98541</c:v>
                </c:pt>
                <c:pt idx="2">
                  <c:v>39.341079999999998</c:v>
                </c:pt>
                <c:pt idx="3">
                  <c:v>12.56434</c:v>
                </c:pt>
                <c:pt idx="4">
                  <c:v>24.90231</c:v>
                </c:pt>
                <c:pt idx="5">
                  <c:v>23.705850000000002</c:v>
                </c:pt>
                <c:pt idx="6">
                  <c:v>44.66028</c:v>
                </c:pt>
                <c:pt idx="7">
                  <c:v>33.988129999999998</c:v>
                </c:pt>
                <c:pt idx="9">
                  <c:v>20.73094</c:v>
                </c:pt>
                <c:pt idx="10">
                  <c:v>10.663930000000001</c:v>
                </c:pt>
                <c:pt idx="11">
                  <c:v>49.626179999999998</c:v>
                </c:pt>
              </c:numCache>
            </c:numRef>
          </c:xVal>
          <c:yVal>
            <c:numRef>
              <c:f>'2var_atsbr_t2w_CARPOOL.xlsx'!$B$2:$B$13</c:f>
              <c:numCache>
                <c:formatCode>General</c:formatCode>
                <c:ptCount val="12"/>
                <c:pt idx="0">
                  <c:v>-8.9864090000000008E-3</c:v>
                </c:pt>
                <c:pt idx="1">
                  <c:v>-7.0764041999999999E-2</c:v>
                </c:pt>
                <c:pt idx="2">
                  <c:v>1.9098905999999999E-2</c:v>
                </c:pt>
                <c:pt idx="3">
                  <c:v>3.0647164000000001E-2</c:v>
                </c:pt>
                <c:pt idx="4">
                  <c:v>-1.361688E-2</c:v>
                </c:pt>
                <c:pt idx="5">
                  <c:v>8.6388139999999999E-3</c:v>
                </c:pt>
                <c:pt idx="6">
                  <c:v>5.5768249999999998E-2</c:v>
                </c:pt>
                <c:pt idx="7">
                  <c:v>1.9324102999999999E-2</c:v>
                </c:pt>
                <c:pt idx="9">
                  <c:v>-7.7793280000000003E-3</c:v>
                </c:pt>
                <c:pt idx="10">
                  <c:v>3.3507642999999997E-2</c:v>
                </c:pt>
                <c:pt idx="11">
                  <c:v>5.5304152000000002E-2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3A-7847-AD47-4A5A962A6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Carpool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ATSBR CARPOOL (Crowded)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3517936381187269E-2"/>
                  <c:y val="0.213004985115115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'2var_atsbr_t2w_CARPOOL.xlsx'!$Q$2:$Q$13</c:f>
              <c:numCache>
                <c:formatCode>General</c:formatCode>
                <c:ptCount val="12"/>
                <c:pt idx="3">
                  <c:v>12.56434</c:v>
                </c:pt>
                <c:pt idx="6">
                  <c:v>44.66028</c:v>
                </c:pt>
                <c:pt idx="11">
                  <c:v>49.626179999999998</c:v>
                </c:pt>
              </c:numCache>
            </c:numRef>
          </c:xVal>
          <c:yVal>
            <c:numRef>
              <c:f>'2var_atsbr_t2w_CARPOOL.xlsx'!$P$2:$P$13</c:f>
              <c:numCache>
                <c:formatCode>General</c:formatCode>
                <c:ptCount val="12"/>
                <c:pt idx="3">
                  <c:v>3.0647164000000001E-2</c:v>
                </c:pt>
                <c:pt idx="6">
                  <c:v>5.5768249999999998E-2</c:v>
                </c:pt>
                <c:pt idx="11">
                  <c:v>5.5304152000000002E-2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E2-D146-B5E1-57EC8E00A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Carpool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ATSBR CARPOOL</a:t>
            </a:r>
            <a:r>
              <a:rPr lang="en-US" baseline="0%"/>
              <a:t> (Uncrowded)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0832886903257759E-2"/>
                  <c:y val="0.2781740034173580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%">
                      <a:solidFill>
                        <a:schemeClr val="tx1">
                          <a:lumMod val="65%"/>
                          <a:lumOff val="35%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'2var_atsbr_t2w_CARPOOL.xlsx'!$AE$2:$AE$13</c:f>
              <c:numCache>
                <c:formatCode>General</c:formatCode>
                <c:ptCount val="12"/>
                <c:pt idx="0">
                  <c:v>25.331689999999998</c:v>
                </c:pt>
                <c:pt idx="1">
                  <c:v>10.98541</c:v>
                </c:pt>
                <c:pt idx="2">
                  <c:v>39.341079999999998</c:v>
                </c:pt>
                <c:pt idx="4">
                  <c:v>24.90231</c:v>
                </c:pt>
                <c:pt idx="5">
                  <c:v>23.705850000000002</c:v>
                </c:pt>
                <c:pt idx="7">
                  <c:v>33.988129999999998</c:v>
                </c:pt>
                <c:pt idx="9">
                  <c:v>20.73094</c:v>
                </c:pt>
                <c:pt idx="10">
                  <c:v>10.663930000000001</c:v>
                </c:pt>
              </c:numCache>
            </c:numRef>
          </c:xVal>
          <c:yVal>
            <c:numRef>
              <c:f>'2var_atsbr_t2w_CARPOOL.xlsx'!$AD$2:$AD$13</c:f>
              <c:numCache>
                <c:formatCode>General</c:formatCode>
                <c:ptCount val="12"/>
                <c:pt idx="0">
                  <c:v>-8.9864090000000008E-3</c:v>
                </c:pt>
                <c:pt idx="1">
                  <c:v>-7.0764041999999999E-2</c:v>
                </c:pt>
                <c:pt idx="2">
                  <c:v>1.9098905999999999E-2</c:v>
                </c:pt>
                <c:pt idx="4">
                  <c:v>-1.361688E-2</c:v>
                </c:pt>
                <c:pt idx="5">
                  <c:v>8.6388139999999999E-3</c:v>
                </c:pt>
                <c:pt idx="7">
                  <c:v>1.9324102999999999E-2</c:v>
                </c:pt>
                <c:pt idx="9">
                  <c:v>-7.7793280000000003E-3</c:v>
                </c:pt>
                <c:pt idx="10">
                  <c:v>3.3507642999999997E-2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97-2149-974C-FA46CEA089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681119"/>
        <c:axId val="1001682831"/>
      </c:scatterChart>
      <c:valAx>
        <c:axId val="10016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Carpool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2831"/>
        <c:crosses val="autoZero"/>
        <c:crossBetween val="midCat"/>
      </c:valAx>
      <c:valAx>
        <c:axId val="10016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68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3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purl.oclc.org/ooxml/officeDocument/relationships/chart" Target="../charts/chart3.xml"/><Relationship Id="rId2" Type="http://purl.oclc.org/ooxml/officeDocument/relationships/chart" Target="../charts/chart2.xml"/><Relationship Id="rId1" Type="http://purl.oclc.org/ooxml/officeDocument/relationships/chart" Target="../charts/chart1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4</xdr:col>
      <xdr:colOff>6350</xdr:colOff>
      <xdr:row>0</xdr:row>
      <xdr:rowOff>6350</xdr:rowOff>
    </xdr:from>
    <xdr:to>
      <xdr:col>10</xdr:col>
      <xdr:colOff>0</xdr:colOff>
      <xdr:row>14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33D68B-0D84-3FBD-6415-C943A1FDD0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18</xdr:col>
      <xdr:colOff>0</xdr:colOff>
      <xdr:row>0</xdr:row>
      <xdr:rowOff>0</xdr:rowOff>
    </xdr:from>
    <xdr:to>
      <xdr:col>23</xdr:col>
      <xdr:colOff>819150</xdr:colOff>
      <xdr:row>13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3A1BBE-FFD7-164E-9EC7-2AAADB8A0A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  <xdr:twoCellAnchor>
    <xdr:from>
      <xdr:col>32</xdr:col>
      <xdr:colOff>0</xdr:colOff>
      <xdr:row>0</xdr:row>
      <xdr:rowOff>0</xdr:rowOff>
    </xdr:from>
    <xdr:to>
      <xdr:col>37</xdr:col>
      <xdr:colOff>819150</xdr:colOff>
      <xdr:row>13</xdr:row>
      <xdr:rowOff>196850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73ADA0-DF03-4A49-B053-6D409EE98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3"/>
        </a:graphicData>
      </a:graphic>
    </xdr:graphicFrame>
    <xdr:clientData/>
  </xdr:twoCellAnchor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564F2-7991-2B47-9E93-FCDC568DD205}">
  <dimension ref="A1:AO50"/>
  <sheetViews>
    <sheetView tabSelected="1" topLeftCell="A34" workbookViewId="0">
      <selection activeCell="G41" sqref="G41"/>
    </sheetView>
  </sheetViews>
  <sheetFormatPr baseColWidth="10" defaultRowHeight="16" x14ac:dyDescent="0.2"/>
  <sheetData>
    <row r="1" spans="1:40" x14ac:dyDescent="0.2">
      <c r="A1" t="s">
        <v>0</v>
      </c>
      <c r="B1" t="s">
        <v>1</v>
      </c>
      <c r="C1" t="s">
        <v>2</v>
      </c>
      <c r="O1" t="s">
        <v>0</v>
      </c>
      <c r="P1" t="s">
        <v>1</v>
      </c>
      <c r="Q1" t="s">
        <v>2</v>
      </c>
      <c r="AC1" t="s">
        <v>0</v>
      </c>
      <c r="AD1" t="s">
        <v>1</v>
      </c>
      <c r="AE1" t="s">
        <v>2</v>
      </c>
    </row>
    <row r="2" spans="1:40" x14ac:dyDescent="0.2">
      <c r="A2">
        <v>1</v>
      </c>
      <c r="B2">
        <v>-8.9864090000000008E-3</v>
      </c>
      <c r="C2">
        <v>25.331689999999998</v>
      </c>
      <c r="O2">
        <v>1</v>
      </c>
      <c r="AC2">
        <v>1</v>
      </c>
      <c r="AD2">
        <v>-8.9864090000000008E-3</v>
      </c>
      <c r="AE2">
        <v>25.331689999999998</v>
      </c>
    </row>
    <row r="3" spans="1:40" x14ac:dyDescent="0.2">
      <c r="A3">
        <v>2</v>
      </c>
      <c r="B3">
        <v>-7.0764041999999999E-2</v>
      </c>
      <c r="C3">
        <v>10.98541</v>
      </c>
      <c r="O3">
        <v>2</v>
      </c>
      <c r="AC3">
        <v>2</v>
      </c>
      <c r="AD3">
        <v>-7.0764041999999999E-2</v>
      </c>
      <c r="AE3">
        <v>10.98541</v>
      </c>
    </row>
    <row r="4" spans="1:40" x14ac:dyDescent="0.2">
      <c r="A4">
        <v>3</v>
      </c>
      <c r="B4">
        <v>1.9098905999999999E-2</v>
      </c>
      <c r="C4">
        <v>39.341079999999998</v>
      </c>
      <c r="K4" t="s">
        <v>4</v>
      </c>
      <c r="L4">
        <f>CORREL(C2:C13, B2:B13)</f>
        <v>0.57969270187699318</v>
      </c>
      <c r="O4">
        <v>3</v>
      </c>
      <c r="Y4" t="s">
        <v>4</v>
      </c>
      <c r="Z4">
        <f>CORREL(Q2:Q13, P2:P13)</f>
        <v>0.99023241660327244</v>
      </c>
      <c r="AC4">
        <v>3</v>
      </c>
      <c r="AD4">
        <v>1.9098905999999999E-2</v>
      </c>
      <c r="AE4">
        <v>39.341079999999998</v>
      </c>
      <c r="AM4" t="s">
        <v>4</v>
      </c>
      <c r="AN4">
        <f>CORREL(AE2:AE13, AD2:AD13)</f>
        <v>0.42538947809582711</v>
      </c>
    </row>
    <row r="5" spans="1:40" x14ac:dyDescent="0.2">
      <c r="A5">
        <v>4</v>
      </c>
      <c r="B5">
        <v>3.0647164000000001E-2</v>
      </c>
      <c r="C5">
        <v>12.56434</v>
      </c>
      <c r="O5">
        <v>4</v>
      </c>
      <c r="P5">
        <v>3.0647164000000001E-2</v>
      </c>
      <c r="Q5">
        <v>12.56434</v>
      </c>
      <c r="AC5">
        <v>4</v>
      </c>
    </row>
    <row r="6" spans="1:40" x14ac:dyDescent="0.2">
      <c r="A6">
        <v>5</v>
      </c>
      <c r="B6">
        <v>-1.361688E-2</v>
      </c>
      <c r="C6">
        <v>24.90231</v>
      </c>
      <c r="O6">
        <v>5</v>
      </c>
      <c r="AC6">
        <v>5</v>
      </c>
      <c r="AD6">
        <v>-1.361688E-2</v>
      </c>
      <c r="AE6">
        <v>24.90231</v>
      </c>
    </row>
    <row r="7" spans="1:40" x14ac:dyDescent="0.2">
      <c r="A7">
        <v>6</v>
      </c>
      <c r="B7">
        <v>8.6388139999999999E-3</v>
      </c>
      <c r="C7">
        <v>23.705850000000002</v>
      </c>
      <c r="O7">
        <v>6</v>
      </c>
      <c r="AC7">
        <v>6</v>
      </c>
      <c r="AD7">
        <v>8.6388139999999999E-3</v>
      </c>
      <c r="AE7">
        <v>23.705850000000002</v>
      </c>
    </row>
    <row r="8" spans="1:40" x14ac:dyDescent="0.2">
      <c r="A8">
        <v>7</v>
      </c>
      <c r="B8">
        <v>5.5768249999999998E-2</v>
      </c>
      <c r="C8">
        <v>44.66028</v>
      </c>
      <c r="O8">
        <v>7</v>
      </c>
      <c r="P8">
        <v>5.5768249999999998E-2</v>
      </c>
      <c r="Q8">
        <v>44.66028</v>
      </c>
      <c r="AC8">
        <v>7</v>
      </c>
    </row>
    <row r="9" spans="1:40" x14ac:dyDescent="0.2">
      <c r="A9">
        <v>8</v>
      </c>
      <c r="B9">
        <v>1.9324102999999999E-2</v>
      </c>
      <c r="C9">
        <v>33.988129999999998</v>
      </c>
      <c r="O9">
        <v>8</v>
      </c>
      <c r="AC9">
        <v>8</v>
      </c>
      <c r="AD9">
        <v>1.9324102999999999E-2</v>
      </c>
      <c r="AE9">
        <v>33.988129999999998</v>
      </c>
    </row>
    <row r="10" spans="1:40" x14ac:dyDescent="0.2">
      <c r="A10">
        <v>9</v>
      </c>
      <c r="D10">
        <v>-0.220663843</v>
      </c>
      <c r="O10">
        <v>9</v>
      </c>
      <c r="AC10">
        <v>9</v>
      </c>
    </row>
    <row r="11" spans="1:40" x14ac:dyDescent="0.2">
      <c r="A11">
        <v>10</v>
      </c>
      <c r="B11">
        <v>-7.7793280000000003E-3</v>
      </c>
      <c r="C11">
        <v>20.73094</v>
      </c>
      <c r="O11">
        <v>10</v>
      </c>
      <c r="AC11">
        <v>10</v>
      </c>
      <c r="AD11">
        <v>-7.7793280000000003E-3</v>
      </c>
      <c r="AE11">
        <v>20.73094</v>
      </c>
    </row>
    <row r="12" spans="1:40" x14ac:dyDescent="0.2">
      <c r="A12">
        <v>11</v>
      </c>
      <c r="B12">
        <v>3.3507642999999997E-2</v>
      </c>
      <c r="C12">
        <v>10.663930000000001</v>
      </c>
      <c r="O12">
        <v>11</v>
      </c>
      <c r="AC12">
        <v>11</v>
      </c>
      <c r="AD12">
        <v>3.3507642999999997E-2</v>
      </c>
      <c r="AE12">
        <v>10.663930000000001</v>
      </c>
    </row>
    <row r="13" spans="1:40" x14ac:dyDescent="0.2">
      <c r="A13">
        <v>12</v>
      </c>
      <c r="B13">
        <v>5.5304152000000002E-2</v>
      </c>
      <c r="C13">
        <v>49.626179999999998</v>
      </c>
      <c r="O13">
        <v>12</v>
      </c>
      <c r="P13">
        <v>5.5304152000000002E-2</v>
      </c>
      <c r="Q13">
        <v>49.626179999999998</v>
      </c>
      <c r="AC13">
        <v>12</v>
      </c>
    </row>
    <row r="18" spans="1:38" x14ac:dyDescent="0.2">
      <c r="A18" t="s">
        <v>0</v>
      </c>
      <c r="B18" t="s">
        <v>1</v>
      </c>
      <c r="C18" t="s">
        <v>2</v>
      </c>
      <c r="E18" t="s">
        <v>5</v>
      </c>
      <c r="O18" t="s">
        <v>0</v>
      </c>
      <c r="P18" t="s">
        <v>1</v>
      </c>
      <c r="Q18" t="s">
        <v>2</v>
      </c>
      <c r="S18" t="s">
        <v>5</v>
      </c>
      <c r="AC18" t="s">
        <v>0</v>
      </c>
      <c r="AD18" t="s">
        <v>1</v>
      </c>
      <c r="AE18" t="s">
        <v>2</v>
      </c>
      <c r="AG18" t="s">
        <v>5</v>
      </c>
    </row>
    <row r="19" spans="1:38" ht="17" thickBot="1" x14ac:dyDescent="0.25">
      <c r="A19">
        <v>1</v>
      </c>
      <c r="B19">
        <v>-8.9864090000000008E-3</v>
      </c>
      <c r="C19">
        <v>25.331689999999998</v>
      </c>
      <c r="O19">
        <v>4</v>
      </c>
      <c r="P19">
        <v>3.0647164000000001E-2</v>
      </c>
      <c r="Q19">
        <v>12.56434</v>
      </c>
      <c r="AC19">
        <v>1</v>
      </c>
      <c r="AD19">
        <v>-8.9864090000000008E-3</v>
      </c>
      <c r="AE19">
        <v>25.331689999999998</v>
      </c>
    </row>
    <row r="20" spans="1:38" x14ac:dyDescent="0.2">
      <c r="A20">
        <v>2</v>
      </c>
      <c r="B20">
        <v>-7.0764041999999999E-2</v>
      </c>
      <c r="C20">
        <v>10.98541</v>
      </c>
      <c r="E20" s="4" t="s">
        <v>6</v>
      </c>
      <c r="F20" s="4"/>
      <c r="O20">
        <v>7</v>
      </c>
      <c r="P20">
        <v>5.5768249999999998E-2</v>
      </c>
      <c r="Q20">
        <v>44.66028</v>
      </c>
      <c r="S20" s="4" t="s">
        <v>6</v>
      </c>
      <c r="T20" s="4"/>
      <c r="AC20">
        <v>2</v>
      </c>
      <c r="AD20">
        <v>-7.0764041999999999E-2</v>
      </c>
      <c r="AE20">
        <v>10.98541</v>
      </c>
      <c r="AG20" s="4" t="s">
        <v>6</v>
      </c>
      <c r="AH20" s="4"/>
    </row>
    <row r="21" spans="1:38" x14ac:dyDescent="0.2">
      <c r="A21">
        <v>3</v>
      </c>
      <c r="B21">
        <v>1.9098905999999999E-2</v>
      </c>
      <c r="C21">
        <v>39.341079999999998</v>
      </c>
      <c r="E21" t="s">
        <v>7</v>
      </c>
      <c r="F21">
        <v>0.57969270187699307</v>
      </c>
      <c r="O21">
        <v>12</v>
      </c>
      <c r="P21">
        <v>5.5304152000000002E-2</v>
      </c>
      <c r="Q21">
        <v>49.626179999999998</v>
      </c>
      <c r="S21" t="s">
        <v>7</v>
      </c>
      <c r="T21">
        <v>0.99023241660327244</v>
      </c>
      <c r="AC21">
        <v>3</v>
      </c>
      <c r="AD21">
        <v>1.9098905999999999E-2</v>
      </c>
      <c r="AE21">
        <v>39.341079999999998</v>
      </c>
      <c r="AG21" t="s">
        <v>7</v>
      </c>
      <c r="AH21">
        <v>0.42538947809582683</v>
      </c>
    </row>
    <row r="22" spans="1:38" x14ac:dyDescent="0.2">
      <c r="A22">
        <v>4</v>
      </c>
      <c r="B22">
        <v>3.0647164000000001E-2</v>
      </c>
      <c r="C22">
        <v>12.56434</v>
      </c>
      <c r="E22" t="s">
        <v>8</v>
      </c>
      <c r="F22">
        <v>0.33604362860944836</v>
      </c>
      <c r="S22" t="s">
        <v>8</v>
      </c>
      <c r="T22">
        <v>0.98056023889195687</v>
      </c>
      <c r="AC22">
        <v>5</v>
      </c>
      <c r="AD22">
        <v>-1.361688E-2</v>
      </c>
      <c r="AE22">
        <v>24.90231</v>
      </c>
      <c r="AG22" t="s">
        <v>8</v>
      </c>
      <c r="AH22">
        <v>0.18095620807463994</v>
      </c>
    </row>
    <row r="23" spans="1:38" x14ac:dyDescent="0.2">
      <c r="A23">
        <v>5</v>
      </c>
      <c r="B23">
        <v>-1.361688E-2</v>
      </c>
      <c r="C23">
        <v>24.90231</v>
      </c>
      <c r="E23" t="s">
        <v>9</v>
      </c>
      <c r="F23">
        <v>0.26227069845494261</v>
      </c>
      <c r="S23" t="s">
        <v>9</v>
      </c>
      <c r="T23">
        <v>0.96112047778391374</v>
      </c>
      <c r="AC23">
        <v>6</v>
      </c>
      <c r="AD23">
        <v>8.6388139999999999E-3</v>
      </c>
      <c r="AE23">
        <v>23.705850000000002</v>
      </c>
      <c r="AG23" t="s">
        <v>9</v>
      </c>
      <c r="AH23">
        <v>4.4448909420413261E-2</v>
      </c>
    </row>
    <row r="24" spans="1:38" x14ac:dyDescent="0.2">
      <c r="A24">
        <v>6</v>
      </c>
      <c r="B24">
        <v>8.6388139999999999E-3</v>
      </c>
      <c r="C24">
        <v>23.705850000000002</v>
      </c>
      <c r="E24" t="s">
        <v>10</v>
      </c>
      <c r="F24">
        <v>3.102037152226584E-2</v>
      </c>
      <c r="S24" t="s">
        <v>10</v>
      </c>
      <c r="T24">
        <v>2.8337696498684454E-3</v>
      </c>
      <c r="AC24">
        <v>8</v>
      </c>
      <c r="AD24">
        <v>1.9324102999999999E-2</v>
      </c>
      <c r="AE24">
        <v>33.988129999999998</v>
      </c>
      <c r="AG24" t="s">
        <v>10</v>
      </c>
      <c r="AH24">
        <v>3.1387240876481586E-2</v>
      </c>
    </row>
    <row r="25" spans="1:38" ht="17" thickBot="1" x14ac:dyDescent="0.25">
      <c r="A25">
        <v>7</v>
      </c>
      <c r="B25">
        <v>5.5768249999999998E-2</v>
      </c>
      <c r="C25">
        <v>44.66028</v>
      </c>
      <c r="E25" s="2" t="s">
        <v>11</v>
      </c>
      <c r="F25" s="2">
        <v>11</v>
      </c>
      <c r="S25" s="2" t="s">
        <v>11</v>
      </c>
      <c r="T25" s="2">
        <v>3</v>
      </c>
      <c r="AC25">
        <v>10</v>
      </c>
      <c r="AD25">
        <v>-7.7793280000000003E-3</v>
      </c>
      <c r="AE25">
        <v>20.73094</v>
      </c>
      <c r="AG25" s="2" t="s">
        <v>11</v>
      </c>
      <c r="AH25" s="2">
        <v>8</v>
      </c>
    </row>
    <row r="26" spans="1:38" x14ac:dyDescent="0.2">
      <c r="A26">
        <v>8</v>
      </c>
      <c r="B26">
        <v>1.9324102999999999E-2</v>
      </c>
      <c r="C26">
        <v>33.988129999999998</v>
      </c>
      <c r="AC26">
        <v>11</v>
      </c>
      <c r="AD26">
        <v>3.3507642999999997E-2</v>
      </c>
      <c r="AE26">
        <v>10.663930000000001</v>
      </c>
    </row>
    <row r="27" spans="1:38" ht="17" thickBot="1" x14ac:dyDescent="0.25">
      <c r="A27">
        <v>10</v>
      </c>
      <c r="B27">
        <v>-7.7793280000000003E-3</v>
      </c>
      <c r="C27">
        <v>20.73094</v>
      </c>
      <c r="E27" t="s">
        <v>12</v>
      </c>
      <c r="S27" t="s">
        <v>12</v>
      </c>
      <c r="AG27" t="s">
        <v>12</v>
      </c>
    </row>
    <row r="28" spans="1:38" x14ac:dyDescent="0.2">
      <c r="A28">
        <v>11</v>
      </c>
      <c r="B28">
        <v>3.3507642999999997E-2</v>
      </c>
      <c r="C28">
        <v>10.663930000000001</v>
      </c>
      <c r="E28" s="3"/>
      <c r="F28" s="3" t="s">
        <v>17</v>
      </c>
      <c r="G28" s="3" t="s">
        <v>18</v>
      </c>
      <c r="H28" s="3" t="s">
        <v>19</v>
      </c>
      <c r="I28" s="3" t="s">
        <v>20</v>
      </c>
      <c r="J28" s="3" t="s">
        <v>21</v>
      </c>
      <c r="S28" s="3"/>
      <c r="T28" s="3" t="s">
        <v>17</v>
      </c>
      <c r="U28" s="3" t="s">
        <v>18</v>
      </c>
      <c r="V28" s="3" t="s">
        <v>19</v>
      </c>
      <c r="W28" s="3" t="s">
        <v>20</v>
      </c>
      <c r="X28" s="3" t="s">
        <v>21</v>
      </c>
      <c r="AG28" s="3"/>
      <c r="AH28" s="3" t="s">
        <v>17</v>
      </c>
      <c r="AI28" s="3" t="s">
        <v>18</v>
      </c>
      <c r="AJ28" s="3" t="s">
        <v>19</v>
      </c>
      <c r="AK28" s="3" t="s">
        <v>20</v>
      </c>
      <c r="AL28" s="3" t="s">
        <v>21</v>
      </c>
    </row>
    <row r="29" spans="1:38" x14ac:dyDescent="0.2">
      <c r="A29">
        <v>12</v>
      </c>
      <c r="B29">
        <v>5.5304152000000002E-2</v>
      </c>
      <c r="C29">
        <v>49.626179999999998</v>
      </c>
      <c r="E29" t="s">
        <v>13</v>
      </c>
      <c r="F29">
        <v>1</v>
      </c>
      <c r="G29">
        <v>4.3832134704486683E-3</v>
      </c>
      <c r="H29">
        <v>4.3832134704486683E-3</v>
      </c>
      <c r="I29">
        <v>4.5551075158009606</v>
      </c>
      <c r="J29" s="5">
        <v>6.1592477104694308E-2</v>
      </c>
      <c r="S29" t="s">
        <v>13</v>
      </c>
      <c r="T29">
        <v>1</v>
      </c>
      <c r="U29">
        <v>4.0505355157319906E-4</v>
      </c>
      <c r="V29">
        <v>4.0505355157319906E-4</v>
      </c>
      <c r="W29">
        <v>50.440961359666723</v>
      </c>
      <c r="X29" s="5">
        <v>8.905182417235355E-2</v>
      </c>
      <c r="AG29" t="s">
        <v>13</v>
      </c>
      <c r="AH29">
        <v>1</v>
      </c>
      <c r="AI29">
        <v>1.3059420178529527E-3</v>
      </c>
      <c r="AJ29">
        <v>1.3059420178529527E-3</v>
      </c>
      <c r="AK29">
        <v>1.3256156253813391</v>
      </c>
      <c r="AL29" s="5">
        <v>0.29339227147952818</v>
      </c>
    </row>
    <row r="30" spans="1:38" x14ac:dyDescent="0.2">
      <c r="E30" t="s">
        <v>14</v>
      </c>
      <c r="F30">
        <v>9</v>
      </c>
      <c r="G30">
        <v>8.6603710444146127E-3</v>
      </c>
      <c r="H30">
        <v>9.6226344937940141E-4</v>
      </c>
      <c r="S30" t="s">
        <v>14</v>
      </c>
      <c r="T30">
        <v>1</v>
      </c>
      <c r="U30">
        <v>8.0302504285155315E-6</v>
      </c>
      <c r="V30">
        <v>8.0302504285155315E-6</v>
      </c>
      <c r="AG30" t="s">
        <v>14</v>
      </c>
      <c r="AH30">
        <v>6</v>
      </c>
      <c r="AI30">
        <v>5.9109533390296586E-3</v>
      </c>
      <c r="AJ30">
        <v>9.851588898382765E-4</v>
      </c>
    </row>
    <row r="31" spans="1:38" ht="17" thickBot="1" x14ac:dyDescent="0.25">
      <c r="E31" s="2" t="s">
        <v>15</v>
      </c>
      <c r="F31" s="2">
        <v>10</v>
      </c>
      <c r="G31" s="2">
        <v>1.3043584514863281E-2</v>
      </c>
      <c r="H31" s="2"/>
      <c r="I31" s="2"/>
      <c r="J31" s="2"/>
      <c r="S31" s="2" t="s">
        <v>15</v>
      </c>
      <c r="T31" s="2">
        <v>2</v>
      </c>
      <c r="U31" s="2">
        <v>4.1308380200171457E-4</v>
      </c>
      <c r="V31" s="2"/>
      <c r="W31" s="2"/>
      <c r="X31" s="2"/>
      <c r="AG31" s="2" t="s">
        <v>15</v>
      </c>
      <c r="AH31" s="2">
        <v>7</v>
      </c>
      <c r="AI31" s="2">
        <v>7.2168953568826112E-3</v>
      </c>
      <c r="AJ31" s="2"/>
      <c r="AK31" s="2"/>
      <c r="AL31" s="2"/>
    </row>
    <row r="32" spans="1:38" ht="17" thickBot="1" x14ac:dyDescent="0.25"/>
    <row r="33" spans="1:41" x14ac:dyDescent="0.2">
      <c r="E33" s="3"/>
      <c r="F33" s="3" t="s">
        <v>22</v>
      </c>
      <c r="G33" s="3" t="s">
        <v>10</v>
      </c>
      <c r="H33" s="3" t="s">
        <v>23</v>
      </c>
      <c r="I33" s="3" t="s">
        <v>24</v>
      </c>
      <c r="J33" s="3" t="s">
        <v>25</v>
      </c>
      <c r="K33" s="3" t="s">
        <v>26</v>
      </c>
      <c r="L33" s="3" t="s">
        <v>27</v>
      </c>
      <c r="M33" s="3" t="s">
        <v>28</v>
      </c>
      <c r="S33" s="3"/>
      <c r="T33" s="3" t="s">
        <v>22</v>
      </c>
      <c r="U33" s="3" t="s">
        <v>10</v>
      </c>
      <c r="V33" s="3" t="s">
        <v>23</v>
      </c>
      <c r="W33" s="3" t="s">
        <v>24</v>
      </c>
      <c r="X33" s="3" t="s">
        <v>25</v>
      </c>
      <c r="Y33" s="3" t="s">
        <v>26</v>
      </c>
      <c r="Z33" s="3" t="s">
        <v>27</v>
      </c>
      <c r="AA33" s="3" t="s">
        <v>28</v>
      </c>
      <c r="AG33" s="3"/>
      <c r="AH33" s="3" t="s">
        <v>22</v>
      </c>
      <c r="AI33" s="3" t="s">
        <v>10</v>
      </c>
      <c r="AJ33" s="3" t="s">
        <v>23</v>
      </c>
      <c r="AK33" s="3" t="s">
        <v>24</v>
      </c>
      <c r="AL33" s="3" t="s">
        <v>25</v>
      </c>
      <c r="AM33" s="3" t="s">
        <v>26</v>
      </c>
      <c r="AN33" s="3" t="s">
        <v>27</v>
      </c>
      <c r="AO33" s="3" t="s">
        <v>28</v>
      </c>
    </row>
    <row r="34" spans="1:41" x14ac:dyDescent="0.2">
      <c r="E34" t="s">
        <v>16</v>
      </c>
      <c r="F34">
        <v>-3.088663873962498E-2</v>
      </c>
      <c r="G34">
        <v>2.1745953906774883E-2</v>
      </c>
      <c r="H34">
        <v>-1.4203395662492573</v>
      </c>
      <c r="I34" s="5">
        <v>0.18921085016973541</v>
      </c>
      <c r="J34">
        <v>-8.0079404131715395E-2</v>
      </c>
      <c r="K34">
        <v>1.8306126652465438E-2</v>
      </c>
      <c r="L34">
        <v>-8.0079404131715395E-2</v>
      </c>
      <c r="M34">
        <v>1.8306126652465438E-2</v>
      </c>
      <c r="S34" t="s">
        <v>16</v>
      </c>
      <c r="T34">
        <v>2.2044864842721702E-2</v>
      </c>
      <c r="U34">
        <v>3.9065986708292011E-3</v>
      </c>
      <c r="V34">
        <v>5.6429817087002014</v>
      </c>
      <c r="W34" s="5">
        <v>0.1116570141727021</v>
      </c>
      <c r="X34">
        <v>-2.7593177690902092E-2</v>
      </c>
      <c r="Y34">
        <v>7.16829073763455E-2</v>
      </c>
      <c r="Z34">
        <v>-2.7593177690902092E-2</v>
      </c>
      <c r="AA34">
        <v>7.16829073763455E-2</v>
      </c>
      <c r="AG34" t="s">
        <v>16</v>
      </c>
      <c r="AH34">
        <v>-3.5067944117655472E-2</v>
      </c>
      <c r="AI34">
        <v>3.0327187257400183E-2</v>
      </c>
      <c r="AJ34">
        <v>-1.1563203610021069</v>
      </c>
      <c r="AK34" s="5">
        <v>0.29150702864176903</v>
      </c>
      <c r="AL34">
        <v>-0.10927589802968068</v>
      </c>
      <c r="AM34">
        <v>3.9140009794369747E-2</v>
      </c>
      <c r="AN34">
        <v>-0.10927589802968068</v>
      </c>
      <c r="AO34">
        <v>3.9140009794369747E-2</v>
      </c>
    </row>
    <row r="35" spans="1:41" ht="17" thickBot="1" x14ac:dyDescent="0.25">
      <c r="E35" s="2" t="s">
        <v>2</v>
      </c>
      <c r="F35" s="2">
        <v>1.5544525514756072E-3</v>
      </c>
      <c r="G35" s="2">
        <v>7.2832992449776686E-4</v>
      </c>
      <c r="H35" s="2">
        <v>2.1342697851492347</v>
      </c>
      <c r="I35" s="6">
        <v>6.1592477104694385E-2</v>
      </c>
      <c r="J35" s="2">
        <v>-9.3144204107292226E-5</v>
      </c>
      <c r="K35" s="2">
        <v>3.2020493070585064E-3</v>
      </c>
      <c r="L35" s="2">
        <v>-9.3144204107292226E-5</v>
      </c>
      <c r="M35" s="2">
        <v>3.2020493070585064E-3</v>
      </c>
      <c r="S35" s="2" t="s">
        <v>2</v>
      </c>
      <c r="T35" s="2">
        <v>7.0738797904961771E-4</v>
      </c>
      <c r="U35" s="2">
        <v>9.9601527248174479E-5</v>
      </c>
      <c r="V35" s="2">
        <v>7.1021800427521349</v>
      </c>
      <c r="W35" s="6">
        <v>8.9051824172353564E-2</v>
      </c>
      <c r="X35" s="2">
        <v>-5.5816941820137063E-4</v>
      </c>
      <c r="Y35" s="2">
        <v>1.9729453763006059E-3</v>
      </c>
      <c r="Z35" s="2">
        <v>-5.5816941820137063E-4</v>
      </c>
      <c r="AA35" s="2">
        <v>1.9729453763006059E-3</v>
      </c>
      <c r="AG35" s="2" t="s">
        <v>2</v>
      </c>
      <c r="AH35" s="2">
        <v>1.3707738710888413E-3</v>
      </c>
      <c r="AI35" s="2">
        <v>1.1905756891490175E-3</v>
      </c>
      <c r="AJ35" s="2">
        <v>1.1513538228456717</v>
      </c>
      <c r="AK35" s="6">
        <v>0.29339227147952762</v>
      </c>
      <c r="AL35" s="2">
        <v>-1.5424598923749792E-3</v>
      </c>
      <c r="AM35" s="2">
        <v>4.2840076345526616E-3</v>
      </c>
      <c r="AN35" s="2">
        <v>-1.5424598923749792E-3</v>
      </c>
      <c r="AO35" s="2">
        <v>4.2840076345526616E-3</v>
      </c>
    </row>
    <row r="39" spans="1:41" x14ac:dyDescent="0.2">
      <c r="A39" t="s">
        <v>0</v>
      </c>
      <c r="B39" t="s">
        <v>1</v>
      </c>
      <c r="C39" t="s">
        <v>29</v>
      </c>
      <c r="D39" t="s">
        <v>2</v>
      </c>
      <c r="O39" t="s">
        <v>0</v>
      </c>
      <c r="P39" t="s">
        <v>1</v>
      </c>
      <c r="Q39" t="s">
        <v>29</v>
      </c>
      <c r="R39" t="s">
        <v>2</v>
      </c>
      <c r="AC39" t="s">
        <v>0</v>
      </c>
      <c r="AD39" t="s">
        <v>1</v>
      </c>
      <c r="AE39" t="s">
        <v>29</v>
      </c>
      <c r="AF39" t="s">
        <v>2</v>
      </c>
    </row>
    <row r="40" spans="1:41" x14ac:dyDescent="0.2">
      <c r="A40">
        <v>1</v>
      </c>
      <c r="B40">
        <v>-8.9864090000000008E-3</v>
      </c>
      <c r="C40">
        <f>_xlfn.RANK.AVG(B40, B$40:B$50, 1)</f>
        <v>3</v>
      </c>
      <c r="D40">
        <v>25.331689999999998</v>
      </c>
      <c r="E40">
        <f>_xlfn.RANK.AVG(D40, D$40:D$50, 1)</f>
        <v>7</v>
      </c>
      <c r="O40">
        <v>4</v>
      </c>
      <c r="P40">
        <v>3.0647164000000001E-2</v>
      </c>
      <c r="Q40">
        <f>_xlfn.RANK.AVG(P40, P$40:P$42)</f>
        <v>3</v>
      </c>
      <c r="R40">
        <v>12.56434</v>
      </c>
      <c r="S40">
        <f>_xlfn.RANK.AVG(R40, R$40:R$42)</f>
        <v>3</v>
      </c>
      <c r="AC40">
        <v>1</v>
      </c>
      <c r="AD40">
        <v>-8.9864090000000008E-3</v>
      </c>
      <c r="AE40">
        <f>_xlfn.RANK.AVG(AD40, AD$40:AD$47, 1)</f>
        <v>3</v>
      </c>
      <c r="AF40">
        <v>25.331689999999998</v>
      </c>
      <c r="AG40">
        <f>_xlfn.RANK.AVG(AF40, AF$40:AF$47, 1)</f>
        <v>6</v>
      </c>
    </row>
    <row r="41" spans="1:41" x14ac:dyDescent="0.2">
      <c r="A41">
        <v>2</v>
      </c>
      <c r="B41">
        <v>-7.0764041999999999E-2</v>
      </c>
      <c r="C41">
        <f t="shared" ref="C41:C50" si="0">_xlfn.RANK.AVG(B41, B$40:B$50, 1)</f>
        <v>1</v>
      </c>
      <c r="D41">
        <v>10.98541</v>
      </c>
      <c r="E41">
        <f t="shared" ref="E41:E50" si="1">_xlfn.RANK.AVG(D41, D$40:D$50, 1)</f>
        <v>2</v>
      </c>
      <c r="G41" t="s">
        <v>30</v>
      </c>
      <c r="H41">
        <f>CORREL(C40:C50, E40:E50)</f>
        <v>0.39090909090909087</v>
      </c>
      <c r="O41">
        <v>7</v>
      </c>
      <c r="P41">
        <v>5.5768249999999998E-2</v>
      </c>
      <c r="Q41">
        <f t="shared" ref="Q41:Q42" si="2">_xlfn.RANK.AVG(P41, P$40:P$42)</f>
        <v>1</v>
      </c>
      <c r="R41">
        <v>44.66028</v>
      </c>
      <c r="S41">
        <f t="shared" ref="S41:S42" si="3">_xlfn.RANK.AVG(R41, R$40:R$42)</f>
        <v>2</v>
      </c>
      <c r="U41" t="s">
        <v>30</v>
      </c>
      <c r="V41">
        <f>CORREL(Q40:Q42, S40:S42)</f>
        <v>0.5</v>
      </c>
      <c r="AC41">
        <v>2</v>
      </c>
      <c r="AD41">
        <v>-7.0764041999999999E-2</v>
      </c>
      <c r="AE41">
        <f t="shared" ref="AE41:AE47" si="4">_xlfn.RANK.AVG(AD41, AD$40:AD$47, 1)</f>
        <v>1</v>
      </c>
      <c r="AF41">
        <v>10.98541</v>
      </c>
      <c r="AG41">
        <f t="shared" ref="AG41:AG47" si="5">_xlfn.RANK.AVG(AF41, AF$40:AF$47, 1)</f>
        <v>2</v>
      </c>
      <c r="AI41" t="s">
        <v>30</v>
      </c>
      <c r="AJ41">
        <f>CORREL(AE40:AE42, AG40:AG42)</f>
        <v>0.95382096647653203</v>
      </c>
    </row>
    <row r="42" spans="1:41" x14ac:dyDescent="0.2">
      <c r="A42">
        <v>3</v>
      </c>
      <c r="B42">
        <v>1.9098905999999999E-2</v>
      </c>
      <c r="C42">
        <f t="shared" si="0"/>
        <v>6</v>
      </c>
      <c r="D42">
        <v>39.341079999999998</v>
      </c>
      <c r="E42">
        <f t="shared" si="1"/>
        <v>9</v>
      </c>
      <c r="O42">
        <v>12</v>
      </c>
      <c r="P42">
        <v>5.5304152000000002E-2</v>
      </c>
      <c r="Q42">
        <f t="shared" si="2"/>
        <v>2</v>
      </c>
      <c r="R42">
        <v>49.626179999999998</v>
      </c>
      <c r="S42">
        <f t="shared" si="3"/>
        <v>1</v>
      </c>
      <c r="AC42">
        <v>3</v>
      </c>
      <c r="AD42">
        <v>1.9098905999999999E-2</v>
      </c>
      <c r="AE42">
        <f t="shared" si="4"/>
        <v>6</v>
      </c>
      <c r="AF42">
        <v>39.341079999999998</v>
      </c>
      <c r="AG42">
        <f t="shared" si="5"/>
        <v>8</v>
      </c>
    </row>
    <row r="43" spans="1:41" x14ac:dyDescent="0.2">
      <c r="A43">
        <v>4</v>
      </c>
      <c r="B43">
        <v>3.0647164000000001E-2</v>
      </c>
      <c r="C43">
        <f t="shared" si="0"/>
        <v>8</v>
      </c>
      <c r="D43">
        <v>12.56434</v>
      </c>
      <c r="E43">
        <f t="shared" si="1"/>
        <v>3</v>
      </c>
      <c r="AC43">
        <v>5</v>
      </c>
      <c r="AD43">
        <v>-1.361688E-2</v>
      </c>
      <c r="AE43">
        <f t="shared" si="4"/>
        <v>2</v>
      </c>
      <c r="AF43">
        <v>24.90231</v>
      </c>
      <c r="AG43">
        <f t="shared" si="5"/>
        <v>5</v>
      </c>
    </row>
    <row r="44" spans="1:41" x14ac:dyDescent="0.2">
      <c r="A44">
        <v>5</v>
      </c>
      <c r="B44">
        <v>-1.361688E-2</v>
      </c>
      <c r="C44">
        <f t="shared" si="0"/>
        <v>2</v>
      </c>
      <c r="D44">
        <v>24.90231</v>
      </c>
      <c r="E44">
        <f t="shared" si="1"/>
        <v>6</v>
      </c>
      <c r="AC44">
        <v>6</v>
      </c>
      <c r="AD44">
        <v>8.6388139999999999E-3</v>
      </c>
      <c r="AE44">
        <f t="shared" si="4"/>
        <v>5</v>
      </c>
      <c r="AF44">
        <v>23.705850000000002</v>
      </c>
      <c r="AG44">
        <f t="shared" si="5"/>
        <v>4</v>
      </c>
    </row>
    <row r="45" spans="1:41" x14ac:dyDescent="0.2">
      <c r="A45">
        <v>6</v>
      </c>
      <c r="B45">
        <v>8.6388139999999999E-3</v>
      </c>
      <c r="C45">
        <f t="shared" si="0"/>
        <v>5</v>
      </c>
      <c r="D45">
        <v>23.705850000000002</v>
      </c>
      <c r="E45">
        <f t="shared" si="1"/>
        <v>5</v>
      </c>
      <c r="AC45">
        <v>8</v>
      </c>
      <c r="AD45">
        <v>1.9324102999999999E-2</v>
      </c>
      <c r="AE45">
        <f t="shared" si="4"/>
        <v>7</v>
      </c>
      <c r="AF45">
        <v>33.988129999999998</v>
      </c>
      <c r="AG45">
        <f t="shared" si="5"/>
        <v>7</v>
      </c>
    </row>
    <row r="46" spans="1:41" x14ac:dyDescent="0.2">
      <c r="A46">
        <v>7</v>
      </c>
      <c r="B46">
        <v>5.5768249999999998E-2</v>
      </c>
      <c r="C46">
        <f t="shared" si="0"/>
        <v>11</v>
      </c>
      <c r="D46">
        <v>44.66028</v>
      </c>
      <c r="E46">
        <f t="shared" si="1"/>
        <v>10</v>
      </c>
      <c r="AC46">
        <v>10</v>
      </c>
      <c r="AD46">
        <v>-7.7793280000000003E-3</v>
      </c>
      <c r="AE46">
        <f t="shared" si="4"/>
        <v>4</v>
      </c>
      <c r="AF46">
        <v>20.73094</v>
      </c>
      <c r="AG46">
        <f t="shared" si="5"/>
        <v>3</v>
      </c>
    </row>
    <row r="47" spans="1:41" x14ac:dyDescent="0.2">
      <c r="A47">
        <v>8</v>
      </c>
      <c r="B47">
        <v>1.9324102999999999E-2</v>
      </c>
      <c r="C47">
        <f t="shared" si="0"/>
        <v>7</v>
      </c>
      <c r="D47">
        <v>33.988129999999998</v>
      </c>
      <c r="E47">
        <f t="shared" si="1"/>
        <v>8</v>
      </c>
      <c r="AC47">
        <v>11</v>
      </c>
      <c r="AD47">
        <v>3.3507642999999997E-2</v>
      </c>
      <c r="AE47">
        <f t="shared" si="4"/>
        <v>8</v>
      </c>
      <c r="AF47">
        <v>10.663930000000001</v>
      </c>
      <c r="AG47">
        <f t="shared" si="5"/>
        <v>1</v>
      </c>
    </row>
    <row r="48" spans="1:41" x14ac:dyDescent="0.2">
      <c r="A48">
        <v>10</v>
      </c>
      <c r="B48">
        <v>-7.7793280000000003E-3</v>
      </c>
      <c r="C48">
        <f t="shared" si="0"/>
        <v>4</v>
      </c>
      <c r="D48">
        <v>20.73094</v>
      </c>
      <c r="E48">
        <f t="shared" si="1"/>
        <v>4</v>
      </c>
    </row>
    <row r="49" spans="1:5" x14ac:dyDescent="0.2">
      <c r="A49">
        <v>11</v>
      </c>
      <c r="B49">
        <v>3.3507642999999997E-2</v>
      </c>
      <c r="C49">
        <f t="shared" si="0"/>
        <v>9</v>
      </c>
      <c r="D49">
        <v>10.663930000000001</v>
      </c>
      <c r="E49">
        <f t="shared" si="1"/>
        <v>1</v>
      </c>
    </row>
    <row r="50" spans="1:5" x14ac:dyDescent="0.2">
      <c r="A50">
        <v>12</v>
      </c>
      <c r="B50">
        <v>5.5304152000000002E-2</v>
      </c>
      <c r="C50">
        <f t="shared" si="0"/>
        <v>10</v>
      </c>
      <c r="D50">
        <v>49.626179999999998</v>
      </c>
      <c r="E50">
        <f t="shared" si="1"/>
        <v>11</v>
      </c>
    </row>
  </sheetData>
  <pageMargins left="0.75" right="0.75" top="1" bottom="1" header="0.5" footer="0.5"/>
  <pageSetup orientation="portrait" horizontalDpi="0" verticalDpi="0"/>
  <drawing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357AE-290F-8745-9285-7CFA61F865F6}">
  <dimension ref="A1:E13"/>
  <sheetViews>
    <sheetView workbookViewId="0">
      <selection activeCell="E10" sqref="E10"/>
    </sheetView>
  </sheetViews>
  <sheetFormatPr baseColWidth="10" defaultRowHeight="16" x14ac:dyDescent="0.2"/>
  <sheetData>
    <row r="1" spans="1:5" x14ac:dyDescent="0.2">
      <c r="A1" s="1" t="s">
        <v>0</v>
      </c>
      <c r="B1" s="1" t="s">
        <v>1</v>
      </c>
      <c r="C1" s="1" t="s">
        <v>2</v>
      </c>
      <c r="D1" s="1"/>
    </row>
    <row r="2" spans="1:5" x14ac:dyDescent="0.2">
      <c r="A2" s="1">
        <v>1</v>
      </c>
      <c r="B2" s="1">
        <v>-8.9864000000000003E-3</v>
      </c>
      <c r="C2" s="1">
        <v>25.331689999999998</v>
      </c>
      <c r="D2" s="1"/>
    </row>
    <row r="3" spans="1:5" x14ac:dyDescent="0.2">
      <c r="A3" s="1">
        <v>2</v>
      </c>
      <c r="B3" s="1">
        <v>-7.0763999999999994E-2</v>
      </c>
      <c r="C3" s="1">
        <v>10.98541</v>
      </c>
      <c r="D3" s="1"/>
    </row>
    <row r="4" spans="1:5" x14ac:dyDescent="0.2">
      <c r="A4" s="1">
        <v>3</v>
      </c>
      <c r="B4" s="1">
        <v>1.909891E-2</v>
      </c>
      <c r="C4" s="1">
        <v>39.341079999999998</v>
      </c>
      <c r="D4" s="1"/>
    </row>
    <row r="5" spans="1:5" x14ac:dyDescent="0.2">
      <c r="A5" s="1">
        <v>4</v>
      </c>
      <c r="B5" s="1">
        <v>3.064716E-2</v>
      </c>
      <c r="C5" s="1">
        <v>12.56434</v>
      </c>
      <c r="D5" s="1"/>
    </row>
    <row r="6" spans="1:5" x14ac:dyDescent="0.2">
      <c r="A6" s="1">
        <v>5</v>
      </c>
      <c r="B6" s="1">
        <v>-1.3616899999999999E-2</v>
      </c>
      <c r="C6" s="1">
        <v>24.90231</v>
      </c>
      <c r="D6" s="1"/>
    </row>
    <row r="7" spans="1:5" x14ac:dyDescent="0.2">
      <c r="A7" s="1">
        <v>6</v>
      </c>
      <c r="B7" s="1">
        <v>8.6388100000000002E-3</v>
      </c>
      <c r="C7" s="1">
        <v>23.705850000000002</v>
      </c>
      <c r="D7" s="1"/>
    </row>
    <row r="8" spans="1:5" x14ac:dyDescent="0.2">
      <c r="A8" s="1">
        <v>7</v>
      </c>
      <c r="B8" s="1">
        <v>5.5768249999999998E-2</v>
      </c>
      <c r="C8" s="1">
        <v>44.66028</v>
      </c>
      <c r="D8" s="1"/>
    </row>
    <row r="9" spans="1:5" x14ac:dyDescent="0.2">
      <c r="A9" s="1">
        <v>8</v>
      </c>
      <c r="B9" s="1">
        <v>1.93241E-2</v>
      </c>
      <c r="C9" s="1">
        <v>33.988129999999998</v>
      </c>
      <c r="D9" s="1"/>
    </row>
    <row r="10" spans="1:5" x14ac:dyDescent="0.2">
      <c r="A10" s="1">
        <v>9</v>
      </c>
      <c r="B10" s="1"/>
      <c r="C10" s="1"/>
      <c r="D10" s="1">
        <v>-0.22066379999999999</v>
      </c>
      <c r="E10" t="s">
        <v>3</v>
      </c>
    </row>
    <row r="11" spans="1:5" x14ac:dyDescent="0.2">
      <c r="A11" s="1">
        <v>10</v>
      </c>
      <c r="B11" s="1">
        <v>-7.7793000000000003E-3</v>
      </c>
      <c r="C11" s="1">
        <v>20.73094</v>
      </c>
      <c r="D11" s="1"/>
    </row>
    <row r="12" spans="1:5" x14ac:dyDescent="0.2">
      <c r="A12" s="1">
        <v>11</v>
      </c>
      <c r="B12" s="1">
        <v>3.3507639999999998E-2</v>
      </c>
      <c r="C12" s="1">
        <v>10.663930000000001</v>
      </c>
      <c r="D12" s="1"/>
    </row>
    <row r="13" spans="1:5" x14ac:dyDescent="0.2">
      <c r="A13" s="1">
        <v>12</v>
      </c>
      <c r="B13" s="1">
        <v>5.5304150000000003E-2</v>
      </c>
      <c r="C13" s="1">
        <v>49.626179999999998</v>
      </c>
      <c r="D13" s="1"/>
    </row>
  </sheetData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2var_atsbr_t2w_CARPOOL.xlsx</vt:lpstr>
      <vt:lpstr>Outlier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Phil Liao</cp:lastModifiedBy>
  <dcterms:modified xsi:type="dcterms:W3CDTF">2025-10-08T07:39:19Z</dcterms:modified>
</cp:coreProperties>
</file>