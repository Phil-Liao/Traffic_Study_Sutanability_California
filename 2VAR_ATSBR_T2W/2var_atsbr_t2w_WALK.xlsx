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MVAR_ASTBR_T2W/"/>
    </mc:Choice>
  </mc:AlternateContent>
  <xr:revisionPtr revIDLastSave="0" documentId="13_ncr:1_{DE73CD86-DB61-2E4A-B718-2CC0E6B18A04}" xr6:coauthVersionLast="47" xr6:coauthVersionMax="47" xr10:uidLastSave="{00000000-0000-0000-0000-000000000000}"/>
  <bookViews>
    <workbookView xWindow="0" yWindow="640" windowWidth="25600" windowHeight="16000" xr2:uid="{D22EBA2C-12A5-6B45-A953-FFA167356B2F}"/>
  </bookViews>
  <sheets>
    <sheet name="Regression" sheetId="1" r:id="rId1"/>
    <sheet name="Outli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" l="1"/>
  <c r="L20" i="1"/>
  <c r="L4" i="1"/>
</calcChain>
</file>

<file path=xl/sharedStrings.xml><?xml version="1.0" encoding="utf-8"?>
<sst xmlns="http://schemas.openxmlformats.org/spreadsheetml/2006/main" count="17" uniqueCount="6">
  <si>
    <t>district_name</t>
  </si>
  <si>
    <t>speed_acr</t>
  </si>
  <si>
    <t>Walk percent</t>
  </si>
  <si>
    <t>Missing Data</t>
  </si>
  <si>
    <t>Outlier</t>
  </si>
  <si>
    <t>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</si>
</sst>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</a:t>
            </a:r>
            <a:r>
              <a:rPr lang="en-US" baseline="0"/>
              <a:t> rate to walk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.2407919999999999"/>
            <c:dispRSqr val="1"/>
            <c:dispEq val="1"/>
            <c:trendlineLbl>
              <c:layout>
                <c:manualLayout>
                  <c:x val="-1.1322410115937048E-2"/>
                  <c:y val="0.219036757176653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Regression!$C$2:$C$13</c:f>
              <c:numCache>
                <c:formatCode>General</c:formatCode>
                <c:ptCount val="12"/>
                <c:pt idx="0">
                  <c:v>4.1795689999999999</c:v>
                </c:pt>
                <c:pt idx="1">
                  <c:v>2.7827199999999999</c:v>
                </c:pt>
                <c:pt idx="2">
                  <c:v>3.6753770000000001</c:v>
                </c:pt>
                <c:pt idx="3">
                  <c:v>3.6038389999999998</c:v>
                </c:pt>
                <c:pt idx="4">
                  <c:v>4.2643740000000001</c:v>
                </c:pt>
                <c:pt idx="5">
                  <c:v>2.6500029999999999</c:v>
                </c:pt>
                <c:pt idx="6">
                  <c:v>2.7476090000000002</c:v>
                </c:pt>
                <c:pt idx="7">
                  <c:v>2.3836249999999999</c:v>
                </c:pt>
                <c:pt idx="9">
                  <c:v>2.2407919999999999</c:v>
                </c:pt>
                <c:pt idx="10">
                  <c:v>2.8338070000000002</c:v>
                </c:pt>
                <c:pt idx="11">
                  <c:v>2.4946600000000001</c:v>
                </c:pt>
              </c:numCache>
            </c:numRef>
          </c:xVal>
          <c:yVal>
            <c:numRef>
              <c:f>Regression!$B$2:$B$13</c:f>
              <c:numCache>
                <c:formatCode>General</c:formatCode>
                <c:ptCount val="12"/>
                <c:pt idx="0">
                  <c:v>-8.9864000000000003E-3</c:v>
                </c:pt>
                <c:pt idx="1">
                  <c:v>-7.0763999999999994E-2</c:v>
                </c:pt>
                <c:pt idx="2">
                  <c:v>1.909891E-2</c:v>
                </c:pt>
                <c:pt idx="3">
                  <c:v>3.064716E-2</c:v>
                </c:pt>
                <c:pt idx="4">
                  <c:v>-1.3616899999999999E-2</c:v>
                </c:pt>
                <c:pt idx="5">
                  <c:v>8.6388100000000002E-3</c:v>
                </c:pt>
                <c:pt idx="6">
                  <c:v>5.5768249999999998E-2</c:v>
                </c:pt>
                <c:pt idx="7">
                  <c:v>1.93241E-2</c:v>
                </c:pt>
                <c:pt idx="9">
                  <c:v>-7.7793000000000003E-3</c:v>
                </c:pt>
                <c:pt idx="10">
                  <c:v>3.3507639999999998E-2</c:v>
                </c:pt>
                <c:pt idx="11">
                  <c:v>5.5304150000000003E-2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8F-2847-83B9-491D020B7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157519"/>
        <c:axId val="343601359"/>
      </c:scatterChart>
      <c:valAx>
        <c:axId val="33215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Walk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01359"/>
        <c:crosses val="autoZero"/>
        <c:crossBetween val="midCat"/>
      </c:valAx>
      <c:valAx>
        <c:axId val="3436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5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</a:t>
            </a:r>
            <a:r>
              <a:rPr lang="en-US" baseline="0"/>
              <a:t> rate to walk rate (crowded)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.2407919999999999"/>
            <c:dispRSqr val="1"/>
            <c:dispEq val="1"/>
            <c:trendlineLbl>
              <c:layout>
                <c:manualLayout>
                  <c:x val="-0.3122990306571114"/>
                  <c:y val="-1.67896613820133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Regression!$C$18:$C$29</c:f>
              <c:numCache>
                <c:formatCode>General</c:formatCode>
                <c:ptCount val="12"/>
                <c:pt idx="2">
                  <c:v>3.6753770000000001</c:v>
                </c:pt>
                <c:pt idx="3">
                  <c:v>3.6038389999999998</c:v>
                </c:pt>
                <c:pt idx="6">
                  <c:v>2.7476090000000002</c:v>
                </c:pt>
                <c:pt idx="7">
                  <c:v>2.3836249999999999</c:v>
                </c:pt>
                <c:pt idx="10">
                  <c:v>2.8338070000000002</c:v>
                </c:pt>
                <c:pt idx="11">
                  <c:v>2.4946600000000001</c:v>
                </c:pt>
              </c:numCache>
            </c:numRef>
          </c:xVal>
          <c:yVal>
            <c:numRef>
              <c:f>Regression!$B$18:$B$29</c:f>
              <c:numCache>
                <c:formatCode>General</c:formatCode>
                <c:ptCount val="12"/>
                <c:pt idx="2">
                  <c:v>1.909891E-2</c:v>
                </c:pt>
                <c:pt idx="3">
                  <c:v>3.064716E-2</c:v>
                </c:pt>
                <c:pt idx="6">
                  <c:v>5.5768249999999998E-2</c:v>
                </c:pt>
                <c:pt idx="7">
                  <c:v>1.93241E-2</c:v>
                </c:pt>
                <c:pt idx="10">
                  <c:v>3.3507639999999998E-2</c:v>
                </c:pt>
                <c:pt idx="11">
                  <c:v>5.5304150000000003E-2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0B-5A41-B96B-B8BE58C15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157519"/>
        <c:axId val="343601359"/>
      </c:scatterChart>
      <c:valAx>
        <c:axId val="33215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Walk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01359"/>
        <c:crosses val="autoZero"/>
        <c:crossBetween val="midCat"/>
      </c:valAx>
      <c:valAx>
        <c:axId val="3436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5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</a:t>
            </a:r>
            <a:r>
              <a:rPr lang="en-US" baseline="0"/>
              <a:t> rate to walk rate (uncrowded)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.2407919999999999"/>
            <c:dispRSqr val="1"/>
            <c:dispEq val="1"/>
            <c:trendlineLbl>
              <c:layout>
                <c:manualLayout>
                  <c:x val="-0.31427491332517959"/>
                  <c:y val="0.216171392253098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Regression!$C$34:$C$45</c:f>
              <c:numCache>
                <c:formatCode>General</c:formatCode>
                <c:ptCount val="12"/>
                <c:pt idx="0">
                  <c:v>4.1795689999999999</c:v>
                </c:pt>
                <c:pt idx="1">
                  <c:v>2.7827199999999999</c:v>
                </c:pt>
                <c:pt idx="4">
                  <c:v>4.2643740000000001</c:v>
                </c:pt>
                <c:pt idx="5">
                  <c:v>2.6500029999999999</c:v>
                </c:pt>
                <c:pt idx="9">
                  <c:v>2.2407919999999999</c:v>
                </c:pt>
              </c:numCache>
            </c:numRef>
          </c:xVal>
          <c:yVal>
            <c:numRef>
              <c:f>Regression!$B$34:$B$45</c:f>
              <c:numCache>
                <c:formatCode>General</c:formatCode>
                <c:ptCount val="12"/>
                <c:pt idx="0">
                  <c:v>-8.9864000000000003E-3</c:v>
                </c:pt>
                <c:pt idx="1">
                  <c:v>-7.0763999999999994E-2</c:v>
                </c:pt>
                <c:pt idx="4">
                  <c:v>-1.3616899999999999E-2</c:v>
                </c:pt>
                <c:pt idx="5">
                  <c:v>8.6388100000000002E-3</c:v>
                </c:pt>
                <c:pt idx="9">
                  <c:v>-7.7793000000000003E-3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F5-5A49-80B3-511D5C1D4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157519"/>
        <c:axId val="343601359"/>
      </c:scatterChart>
      <c:valAx>
        <c:axId val="33215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Walk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01359"/>
        <c:crosses val="autoZero"/>
        <c:crossBetween val="midCat"/>
      </c:valAx>
      <c:valAx>
        <c:axId val="3436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5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0</xdr:row>
      <xdr:rowOff>0</xdr:rowOff>
    </xdr:from>
    <xdr:to>
      <xdr:col>10</xdr:col>
      <xdr:colOff>0</xdr:colOff>
      <xdr:row>13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903F0B-A20A-FF26-F531-46EFB16EB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9</xdr:col>
      <xdr:colOff>819150</xdr:colOff>
      <xdr:row>29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632E40-8A2A-6D4C-8DDF-A02685702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9</xdr:col>
      <xdr:colOff>819150</xdr:colOff>
      <xdr:row>45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C2228C-7026-BB40-8B65-E104FE75F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715A-222B-6344-AFB0-41253FEF7653}">
  <dimension ref="A1:L45"/>
  <sheetViews>
    <sheetView tabSelected="1" topLeftCell="A16" workbookViewId="0">
      <selection activeCell="G31" sqref="G31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2" t="s">
        <v>2</v>
      </c>
    </row>
    <row r="2" spans="1:12" x14ac:dyDescent="0.2">
      <c r="A2" s="1">
        <v>1</v>
      </c>
      <c r="B2" s="1">
        <v>-8.9864000000000003E-3</v>
      </c>
      <c r="C2" s="3">
        <v>4.1795689999999999</v>
      </c>
    </row>
    <row r="3" spans="1:12" x14ac:dyDescent="0.2">
      <c r="A3" s="1">
        <v>2</v>
      </c>
      <c r="B3" s="1">
        <v>-7.0763999999999994E-2</v>
      </c>
      <c r="C3" s="3">
        <v>2.7827199999999999</v>
      </c>
    </row>
    <row r="4" spans="1:12" x14ac:dyDescent="0.2">
      <c r="A4" s="1">
        <v>3</v>
      </c>
      <c r="B4" s="1">
        <v>1.909891E-2</v>
      </c>
      <c r="C4" s="3">
        <v>3.6753770000000001</v>
      </c>
      <c r="K4" t="s">
        <v>5</v>
      </c>
      <c r="L4">
        <f>CORREL(C2:C13, B2:B13)</f>
        <v>-0.18051127742419928</v>
      </c>
    </row>
    <row r="5" spans="1:12" x14ac:dyDescent="0.2">
      <c r="A5" s="1">
        <v>4</v>
      </c>
      <c r="B5" s="1">
        <v>3.064716E-2</v>
      </c>
      <c r="C5" s="3">
        <v>3.6038389999999998</v>
      </c>
    </row>
    <row r="6" spans="1:12" x14ac:dyDescent="0.2">
      <c r="A6" s="1">
        <v>5</v>
      </c>
      <c r="B6" s="1">
        <v>-1.3616899999999999E-2</v>
      </c>
      <c r="C6" s="3">
        <v>4.2643740000000001</v>
      </c>
    </row>
    <row r="7" spans="1:12" x14ac:dyDescent="0.2">
      <c r="A7" s="1">
        <v>6</v>
      </c>
      <c r="B7" s="1">
        <v>8.6388100000000002E-3</v>
      </c>
      <c r="C7" s="3">
        <v>2.6500029999999999</v>
      </c>
    </row>
    <row r="8" spans="1:12" x14ac:dyDescent="0.2">
      <c r="A8" s="1">
        <v>7</v>
      </c>
      <c r="B8" s="1">
        <v>5.5768249999999998E-2</v>
      </c>
      <c r="C8" s="3">
        <v>2.7476090000000002</v>
      </c>
    </row>
    <row r="9" spans="1:12" x14ac:dyDescent="0.2">
      <c r="A9" s="1">
        <v>8</v>
      </c>
      <c r="B9" s="1">
        <v>1.93241E-2</v>
      </c>
      <c r="C9" s="3">
        <v>2.3836249999999999</v>
      </c>
    </row>
    <row r="10" spans="1:12" x14ac:dyDescent="0.2">
      <c r="A10" s="1">
        <v>9</v>
      </c>
      <c r="B10" s="1"/>
    </row>
    <row r="11" spans="1:12" x14ac:dyDescent="0.2">
      <c r="A11" s="1">
        <v>10</v>
      </c>
      <c r="B11" s="1">
        <v>-7.7793000000000003E-3</v>
      </c>
      <c r="C11" s="3">
        <v>2.2407919999999999</v>
      </c>
    </row>
    <row r="12" spans="1:12" x14ac:dyDescent="0.2">
      <c r="A12" s="1">
        <v>11</v>
      </c>
      <c r="B12" s="1">
        <v>3.3507639999999998E-2</v>
      </c>
      <c r="C12" s="3">
        <v>2.8338070000000002</v>
      </c>
    </row>
    <row r="13" spans="1:12" x14ac:dyDescent="0.2">
      <c r="A13" s="1">
        <v>12</v>
      </c>
      <c r="B13" s="1">
        <v>5.5304150000000003E-2</v>
      </c>
      <c r="C13" s="3">
        <v>2.4946600000000001</v>
      </c>
    </row>
    <row r="17" spans="1:12" x14ac:dyDescent="0.2">
      <c r="A17" s="1" t="s">
        <v>0</v>
      </c>
      <c r="B17" s="1" t="s">
        <v>1</v>
      </c>
      <c r="C17" s="2" t="s">
        <v>2</v>
      </c>
    </row>
    <row r="18" spans="1:12" x14ac:dyDescent="0.2">
      <c r="A18" s="1">
        <v>1</v>
      </c>
      <c r="B18" s="1"/>
      <c r="C18" s="3"/>
    </row>
    <row r="19" spans="1:12" x14ac:dyDescent="0.2">
      <c r="A19" s="1">
        <v>2</v>
      </c>
      <c r="B19" s="1"/>
      <c r="C19" s="3"/>
    </row>
    <row r="20" spans="1:12" x14ac:dyDescent="0.2">
      <c r="A20" s="1">
        <v>3</v>
      </c>
      <c r="B20" s="1">
        <v>1.909891E-2</v>
      </c>
      <c r="C20" s="3">
        <v>3.6753770000000001</v>
      </c>
      <c r="K20" t="s">
        <v>5</v>
      </c>
      <c r="L20">
        <f>CORREL(C18:C29, B18:B29)</f>
        <v>-0.41118097159705219</v>
      </c>
    </row>
    <row r="21" spans="1:12" x14ac:dyDescent="0.2">
      <c r="A21" s="1">
        <v>4</v>
      </c>
      <c r="B21" s="1">
        <v>3.064716E-2</v>
      </c>
      <c r="C21" s="3">
        <v>3.6038389999999998</v>
      </c>
    </row>
    <row r="22" spans="1:12" x14ac:dyDescent="0.2">
      <c r="A22" s="1">
        <v>5</v>
      </c>
      <c r="B22" s="1"/>
      <c r="C22" s="3"/>
    </row>
    <row r="23" spans="1:12" x14ac:dyDescent="0.2">
      <c r="A23" s="1">
        <v>6</v>
      </c>
      <c r="B23" s="1"/>
      <c r="C23" s="3"/>
    </row>
    <row r="24" spans="1:12" x14ac:dyDescent="0.2">
      <c r="A24" s="1">
        <v>7</v>
      </c>
      <c r="B24" s="1">
        <v>5.5768249999999998E-2</v>
      </c>
      <c r="C24" s="3">
        <v>2.7476090000000002</v>
      </c>
    </row>
    <row r="25" spans="1:12" x14ac:dyDescent="0.2">
      <c r="A25" s="1">
        <v>8</v>
      </c>
      <c r="B25" s="1">
        <v>1.93241E-2</v>
      </c>
      <c r="C25" s="3">
        <v>2.3836249999999999</v>
      </c>
    </row>
    <row r="26" spans="1:12" x14ac:dyDescent="0.2">
      <c r="A26" s="1">
        <v>9</v>
      </c>
      <c r="B26" s="1"/>
    </row>
    <row r="27" spans="1:12" x14ac:dyDescent="0.2">
      <c r="A27" s="1">
        <v>10</v>
      </c>
      <c r="B27" s="1"/>
      <c r="C27" s="3"/>
    </row>
    <row r="28" spans="1:12" x14ac:dyDescent="0.2">
      <c r="A28" s="1">
        <v>11</v>
      </c>
      <c r="B28" s="1">
        <v>3.3507639999999998E-2</v>
      </c>
      <c r="C28" s="3">
        <v>2.8338070000000002</v>
      </c>
    </row>
    <row r="29" spans="1:12" x14ac:dyDescent="0.2">
      <c r="A29" s="1">
        <v>12</v>
      </c>
      <c r="B29" s="1">
        <v>5.5304150000000003E-2</v>
      </c>
      <c r="C29" s="3">
        <v>2.4946600000000001</v>
      </c>
    </row>
    <row r="33" spans="1:12" x14ac:dyDescent="0.2">
      <c r="A33" s="1" t="s">
        <v>0</v>
      </c>
      <c r="B33" s="1" t="s">
        <v>1</v>
      </c>
      <c r="C33" s="2" t="s">
        <v>2</v>
      </c>
    </row>
    <row r="34" spans="1:12" x14ac:dyDescent="0.2">
      <c r="A34" s="1">
        <v>1</v>
      </c>
      <c r="B34" s="1">
        <v>-8.9864000000000003E-3</v>
      </c>
      <c r="C34" s="3">
        <v>4.1795689999999999</v>
      </c>
    </row>
    <row r="35" spans="1:12" x14ac:dyDescent="0.2">
      <c r="A35" s="1">
        <v>2</v>
      </c>
      <c r="B35" s="1">
        <v>-7.0763999999999994E-2</v>
      </c>
      <c r="C35" s="3">
        <v>2.7827199999999999</v>
      </c>
    </row>
    <row r="36" spans="1:12" x14ac:dyDescent="0.2">
      <c r="A36" s="1">
        <v>3</v>
      </c>
      <c r="B36" s="1"/>
      <c r="C36" s="3"/>
      <c r="K36" t="s">
        <v>5</v>
      </c>
      <c r="L36">
        <f>CORREL(C34:C45, B34:B45)</f>
        <v>9.7907081067337642E-2</v>
      </c>
    </row>
    <row r="37" spans="1:12" x14ac:dyDescent="0.2">
      <c r="A37" s="1">
        <v>4</v>
      </c>
      <c r="B37" s="1"/>
      <c r="C37" s="3"/>
    </row>
    <row r="38" spans="1:12" x14ac:dyDescent="0.2">
      <c r="A38" s="1">
        <v>5</v>
      </c>
      <c r="B38" s="1">
        <v>-1.3616899999999999E-2</v>
      </c>
      <c r="C38" s="3">
        <v>4.2643740000000001</v>
      </c>
    </row>
    <row r="39" spans="1:12" x14ac:dyDescent="0.2">
      <c r="A39" s="1">
        <v>6</v>
      </c>
      <c r="B39" s="1">
        <v>8.6388100000000002E-3</v>
      </c>
      <c r="C39" s="3">
        <v>2.6500029999999999</v>
      </c>
    </row>
    <row r="40" spans="1:12" x14ac:dyDescent="0.2">
      <c r="A40" s="1">
        <v>7</v>
      </c>
      <c r="B40" s="1"/>
      <c r="C40" s="3"/>
    </row>
    <row r="41" spans="1:12" x14ac:dyDescent="0.2">
      <c r="A41" s="1">
        <v>8</v>
      </c>
      <c r="B41" s="1"/>
      <c r="C41" s="3"/>
    </row>
    <row r="42" spans="1:12" x14ac:dyDescent="0.2">
      <c r="A42" s="1">
        <v>9</v>
      </c>
      <c r="B42" s="1"/>
    </row>
    <row r="43" spans="1:12" x14ac:dyDescent="0.2">
      <c r="A43" s="1">
        <v>10</v>
      </c>
      <c r="B43" s="1">
        <v>-7.7793000000000003E-3</v>
      </c>
      <c r="C43" s="3">
        <v>2.2407919999999999</v>
      </c>
    </row>
    <row r="44" spans="1:12" x14ac:dyDescent="0.2">
      <c r="A44" s="1">
        <v>11</v>
      </c>
      <c r="B44" s="1"/>
      <c r="C44" s="3"/>
    </row>
    <row r="45" spans="1:12" x14ac:dyDescent="0.2">
      <c r="A45" s="1">
        <v>12</v>
      </c>
      <c r="B45" s="1"/>
      <c r="C45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13F6-1A89-5A47-BF3A-0D8EC8413BA0}">
  <dimension ref="A1:E13"/>
  <sheetViews>
    <sheetView workbookViewId="0">
      <selection activeCell="C13" sqref="A1:C1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2" t="s">
        <v>2</v>
      </c>
    </row>
    <row r="2" spans="1:5" x14ac:dyDescent="0.2">
      <c r="A2" s="1">
        <v>1</v>
      </c>
      <c r="B2" s="1">
        <v>-8.9864000000000003E-3</v>
      </c>
      <c r="C2" s="3">
        <v>4.1795689999999999</v>
      </c>
    </row>
    <row r="3" spans="1:5" x14ac:dyDescent="0.2">
      <c r="A3" s="1">
        <v>2</v>
      </c>
      <c r="B3" s="1">
        <v>-7.0763999999999994E-2</v>
      </c>
      <c r="C3" s="3">
        <v>2.7827199999999999</v>
      </c>
    </row>
    <row r="4" spans="1:5" x14ac:dyDescent="0.2">
      <c r="A4" s="1">
        <v>3</v>
      </c>
      <c r="B4" s="1">
        <v>1.909891E-2</v>
      </c>
      <c r="C4" s="3">
        <v>3.6753770000000001</v>
      </c>
    </row>
    <row r="5" spans="1:5" x14ac:dyDescent="0.2">
      <c r="A5" s="1">
        <v>4</v>
      </c>
      <c r="B5" s="1">
        <v>3.064716E-2</v>
      </c>
      <c r="C5" s="3">
        <v>3.6038389999999998</v>
      </c>
    </row>
    <row r="6" spans="1:5" x14ac:dyDescent="0.2">
      <c r="A6" s="1">
        <v>5</v>
      </c>
      <c r="B6" s="1">
        <v>-1.3616899999999999E-2</v>
      </c>
      <c r="C6" s="3">
        <v>4.2643740000000001</v>
      </c>
    </row>
    <row r="7" spans="1:5" x14ac:dyDescent="0.2">
      <c r="A7" s="1">
        <v>6</v>
      </c>
      <c r="B7" s="1">
        <v>8.6388100000000002E-3</v>
      </c>
      <c r="C7" s="3">
        <v>2.6500029999999999</v>
      </c>
    </row>
    <row r="8" spans="1:5" x14ac:dyDescent="0.2">
      <c r="A8" s="1">
        <v>7</v>
      </c>
      <c r="B8" s="1">
        <v>5.5768249999999998E-2</v>
      </c>
      <c r="C8" s="3">
        <v>2.7476090000000002</v>
      </c>
    </row>
    <row r="9" spans="1:5" x14ac:dyDescent="0.2">
      <c r="A9" s="1">
        <v>8</v>
      </c>
      <c r="B9" s="1">
        <v>1.93241E-2</v>
      </c>
      <c r="C9" s="3">
        <v>2.3836249999999999</v>
      </c>
    </row>
    <row r="10" spans="1:5" x14ac:dyDescent="0.2">
      <c r="A10" s="1">
        <v>9</v>
      </c>
      <c r="B10" s="1">
        <v>-0.22066379999999999</v>
      </c>
      <c r="D10" t="s">
        <v>3</v>
      </c>
      <c r="E10" t="s">
        <v>4</v>
      </c>
    </row>
    <row r="11" spans="1:5" x14ac:dyDescent="0.2">
      <c r="A11" s="1">
        <v>10</v>
      </c>
      <c r="B11" s="1">
        <v>-7.7793000000000003E-3</v>
      </c>
      <c r="C11" s="3">
        <v>2.2407919999999999</v>
      </c>
    </row>
    <row r="12" spans="1:5" x14ac:dyDescent="0.2">
      <c r="A12" s="1">
        <v>11</v>
      </c>
      <c r="B12" s="1">
        <v>3.3507639999999998E-2</v>
      </c>
      <c r="C12" s="3">
        <v>2.8338070000000002</v>
      </c>
    </row>
    <row r="13" spans="1:5" x14ac:dyDescent="0.2">
      <c r="A13" s="1">
        <v>12</v>
      </c>
      <c r="B13" s="1">
        <v>5.5304150000000003E-2</v>
      </c>
      <c r="C13" s="3">
        <v>2.4946600000000001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2025-07-14T01:17:03Z</dcterms:created>
  <dcterms:modified xsi:type="dcterms:W3CDTF">2025-07-14T01:25:57Z</dcterms:modified>
</cp:coreProperties>
</file>