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R_T2W/"/>
    </mc:Choice>
  </mc:AlternateContent>
  <xr:revisionPtr revIDLastSave="0" documentId="13_ncr:1_{22F36EBC-CDD6-8F44-AB5A-9486CA172BDF}" xr6:coauthVersionLast="47" xr6:coauthVersionMax="47" xr10:uidLastSave="{00000000-0000-0000-0000-000000000000}"/>
  <bookViews>
    <workbookView xWindow="3840" yWindow="660" windowWidth="21760" windowHeight="14320" xr2:uid="{D22EBA2C-12A5-6B45-A953-FFA167356B2F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0" i="1" l="1"/>
  <c r="AG41" i="1"/>
  <c r="AG42" i="1"/>
  <c r="AG43" i="1"/>
  <c r="AG44" i="1"/>
  <c r="AG40" i="1"/>
  <c r="AE41" i="1"/>
  <c r="AE42" i="1"/>
  <c r="AE43" i="1"/>
  <c r="AE44" i="1"/>
  <c r="AE40" i="1"/>
  <c r="V40" i="1"/>
  <c r="S41" i="1"/>
  <c r="S42" i="1"/>
  <c r="S43" i="1"/>
  <c r="S44" i="1"/>
  <c r="S45" i="1"/>
  <c r="S40" i="1"/>
  <c r="Q41" i="1"/>
  <c r="Q42" i="1"/>
  <c r="Q43" i="1"/>
  <c r="Q44" i="1"/>
  <c r="Q45" i="1"/>
  <c r="Q40" i="1"/>
  <c r="H40" i="1"/>
  <c r="E41" i="1"/>
  <c r="E42" i="1"/>
  <c r="E43" i="1"/>
  <c r="E44" i="1"/>
  <c r="E45" i="1"/>
  <c r="E46" i="1"/>
  <c r="E47" i="1"/>
  <c r="E48" i="1"/>
  <c r="E49" i="1"/>
  <c r="E50" i="1"/>
  <c r="E40" i="1"/>
  <c r="C41" i="1"/>
  <c r="C42" i="1"/>
  <c r="C43" i="1"/>
  <c r="C44" i="1"/>
  <c r="C45" i="1"/>
  <c r="C46" i="1"/>
  <c r="C47" i="1"/>
  <c r="C48" i="1"/>
  <c r="C49" i="1"/>
  <c r="C50" i="1"/>
  <c r="C40" i="1"/>
  <c r="AN4" i="1"/>
  <c r="Z4" i="1"/>
  <c r="L4" i="1"/>
</calcChain>
</file>

<file path=xl/sharedStrings.xml><?xml version="1.0" encoding="utf-8"?>
<sst xmlns="http://schemas.openxmlformats.org/spreadsheetml/2006/main" count="122" uniqueCount="33">
  <si>
    <t>district_name</t>
  </si>
  <si>
    <t>speed_acr</t>
  </si>
  <si>
    <t>Walk percent</t>
  </si>
  <si>
    <t>Missing Data</t>
  </si>
  <si>
    <t>Outlier</t>
  </si>
  <si>
    <t>r 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</si>
  <si>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</si>
  <si>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</si>
  <si>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</si>
  <si>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</si>
  <si>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</si>
  <si>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</si>
  <si>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</si>
  <si>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</si>
  <si>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</si>
  <si>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</si>
  <si>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</si>
  <si>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</si>
  <si>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</si>
  <si>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</si>
  <si>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</si>
  <si>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</si>
  <si>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</si>
  <si>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</si>
  <si>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</si>
  <si>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</si>
  <si>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</si>
  <si>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</si>
  <si>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</si>
  <si>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</si>
  <si>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speed_acr_rank</t>
  </si>
  <si>
    <t>Walk percent rank</t>
  </si>
  <si>
    <t>rho=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</si>
</sst>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9" fontId="0" fillId="0" borderId="0" xfId="1" applyFont="1" applyFill="1" applyBorder="1" applyAlignment="1"/>
    <xf numFmtId="9" fontId="0" fillId="0" borderId="1" xfId="1" applyFont="1" applyFill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WALK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.2407919999999999"/>
            <c:dispRSqr val="1"/>
            <c:dispEq val="1"/>
            <c:trendlineLbl>
              <c:layout>
                <c:manualLayout>
                  <c:x val="-1.1322410115937048E-2"/>
                  <c:y val="0.219036757176653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4.1795689999999999</c:v>
                </c:pt>
                <c:pt idx="1">
                  <c:v>2.7827199999999999</c:v>
                </c:pt>
                <c:pt idx="2">
                  <c:v>3.6753770000000001</c:v>
                </c:pt>
                <c:pt idx="3">
                  <c:v>3.6038389999999998</c:v>
                </c:pt>
                <c:pt idx="4">
                  <c:v>4.2643740000000001</c:v>
                </c:pt>
                <c:pt idx="5">
                  <c:v>2.6500029999999999</c:v>
                </c:pt>
                <c:pt idx="6">
                  <c:v>2.7476090000000002</c:v>
                </c:pt>
                <c:pt idx="7">
                  <c:v>2.3836249999999999</c:v>
                </c:pt>
                <c:pt idx="9">
                  <c:v>2.2407919999999999</c:v>
                </c:pt>
                <c:pt idx="10">
                  <c:v>2.8338070000000002</c:v>
                </c:pt>
                <c:pt idx="11">
                  <c:v>2.4946600000000001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2">
                  <c:v>1.909891E-2</c:v>
                </c:pt>
                <c:pt idx="3">
                  <c:v>3.064716E-2</c:v>
                </c:pt>
                <c:pt idx="4">
                  <c:v>-1.3616899999999999E-2</c:v>
                </c:pt>
                <c:pt idx="5">
                  <c:v>8.6388100000000002E-3</c:v>
                </c:pt>
                <c:pt idx="6">
                  <c:v>5.5768249999999998E-2</c:v>
                </c:pt>
                <c:pt idx="7">
                  <c:v>1.93241E-2</c:v>
                </c:pt>
                <c:pt idx="9">
                  <c:v>-7.7793000000000003E-3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8F-2847-83B9-491D020B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57519"/>
        <c:axId val="343601359"/>
      </c:scatterChart>
      <c:valAx>
        <c:axId val="33215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Walk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01359"/>
        <c:crosses val="autoZero"/>
        <c:crossBetween val="midCat"/>
      </c:valAx>
      <c:valAx>
        <c:axId val="34360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57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WALK</a:t>
            </a:r>
            <a:r>
              <a:rPr lang="en-US" baseline="0"/>
              <a:t> 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.2407919999999999"/>
            <c:dispRSqr val="1"/>
            <c:dispEq val="1"/>
            <c:trendlineLbl>
              <c:layout>
                <c:manualLayout>
                  <c:x val="-0.3122990306571114"/>
                  <c:y val="-1.678966138201334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3.6753770000000001</c:v>
                </c:pt>
                <c:pt idx="3">
                  <c:v>3.6038389999999998</c:v>
                </c:pt>
                <c:pt idx="6">
                  <c:v>2.7476090000000002</c:v>
                </c:pt>
                <c:pt idx="7">
                  <c:v>2.3836249999999999</c:v>
                </c:pt>
                <c:pt idx="10">
                  <c:v>2.8338070000000002</c:v>
                </c:pt>
                <c:pt idx="11">
                  <c:v>2.4946600000000001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1.909891E-2</c:v>
                </c:pt>
                <c:pt idx="3">
                  <c:v>3.064716E-2</c:v>
                </c:pt>
                <c:pt idx="6">
                  <c:v>5.5768249999999998E-2</c:v>
                </c:pt>
                <c:pt idx="7">
                  <c:v>1.93241E-2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0B-5A41-B96B-B8BE58C15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57519"/>
        <c:axId val="343601359"/>
      </c:scatterChart>
      <c:valAx>
        <c:axId val="33215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Walk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01359"/>
        <c:crosses val="autoZero"/>
        <c:crossBetween val="midCat"/>
      </c:valAx>
      <c:valAx>
        <c:axId val="34360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57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WALK (Uncrowded)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2.2407919999999999"/>
            <c:dispRSqr val="1"/>
            <c:dispEq val="1"/>
            <c:trendlineLbl>
              <c:layout>
                <c:manualLayout>
                  <c:x val="-0.31427491332517959"/>
                  <c:y val="0.216171392253098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4.1795689999999999</c:v>
                </c:pt>
                <c:pt idx="1">
                  <c:v>2.7827199999999999</c:v>
                </c:pt>
                <c:pt idx="4">
                  <c:v>4.2643740000000001</c:v>
                </c:pt>
                <c:pt idx="5">
                  <c:v>2.6500029999999999</c:v>
                </c:pt>
                <c:pt idx="9">
                  <c:v>2.2407919999999999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4">
                  <c:v>-1.3616899999999999E-2</c:v>
                </c:pt>
                <c:pt idx="5">
                  <c:v>8.6388100000000002E-3</c:v>
                </c:pt>
                <c:pt idx="9">
                  <c:v>-7.7793000000000003E-3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F5-5A49-80B3-511D5C1D4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57519"/>
        <c:axId val="343601359"/>
      </c:scatterChart>
      <c:valAx>
        <c:axId val="33215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Walk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01359"/>
        <c:crosses val="autoZero"/>
        <c:crossBetween val="midCat"/>
      </c:valAx>
      <c:valAx>
        <c:axId val="34360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157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0</xdr:row>
      <xdr:rowOff>0</xdr:rowOff>
    </xdr:from>
    <xdr:to>
      <xdr:col>10</xdr:col>
      <xdr:colOff>0</xdr:colOff>
      <xdr:row>13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903F0B-A20A-FF26-F531-46EFB16EB3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819150</xdr:colOff>
      <xdr:row>13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632E40-8A2A-6D4C-8DDF-A02685702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819150</xdr:colOff>
      <xdr:row>13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C2228C-7026-BB40-8B65-E104FE75F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4715A-222B-6344-AFB0-41253FEF7653}">
  <dimension ref="A1:AO50"/>
  <sheetViews>
    <sheetView tabSelected="1" topLeftCell="AB24" workbookViewId="0">
      <selection activeCell="AI40" sqref="AI40"/>
    </sheetView>
  </sheetViews>
  <sheetFormatPr baseColWidth="10" defaultRowHeight="16" x14ac:dyDescent="0.2"/>
  <sheetData>
    <row r="1" spans="1:40" x14ac:dyDescent="0.2">
      <c r="A1" s="1" t="s">
        <v>0</v>
      </c>
      <c r="B1" s="1" t="s">
        <v>1</v>
      </c>
      <c r="C1" s="2" t="s">
        <v>2</v>
      </c>
      <c r="O1" s="1" t="s">
        <v>0</v>
      </c>
      <c r="P1" s="1" t="s">
        <v>1</v>
      </c>
      <c r="Q1" s="2" t="s">
        <v>2</v>
      </c>
      <c r="AC1" s="1" t="s">
        <v>0</v>
      </c>
      <c r="AD1" s="1" t="s">
        <v>1</v>
      </c>
      <c r="AE1" s="2" t="s">
        <v>2</v>
      </c>
    </row>
    <row r="2" spans="1:40" x14ac:dyDescent="0.2">
      <c r="A2" s="1">
        <v>1</v>
      </c>
      <c r="B2" s="1">
        <v>-8.9864000000000003E-3</v>
      </c>
      <c r="C2" s="3">
        <v>4.1795689999999999</v>
      </c>
      <c r="O2" s="1">
        <v>1</v>
      </c>
      <c r="P2" s="1"/>
      <c r="Q2" s="3"/>
      <c r="AC2" s="1">
        <v>1</v>
      </c>
      <c r="AD2" s="1">
        <v>-8.9864000000000003E-3</v>
      </c>
      <c r="AE2" s="3">
        <v>4.1795689999999999</v>
      </c>
    </row>
    <row r="3" spans="1:40" x14ac:dyDescent="0.2">
      <c r="A3" s="1">
        <v>2</v>
      </c>
      <c r="B3" s="1">
        <v>-7.0763999999999994E-2</v>
      </c>
      <c r="C3" s="3">
        <v>2.7827199999999999</v>
      </c>
      <c r="O3" s="1">
        <v>2</v>
      </c>
      <c r="P3" s="1"/>
      <c r="Q3" s="3"/>
      <c r="AC3" s="1">
        <v>2</v>
      </c>
      <c r="AD3" s="1">
        <v>-7.0763999999999994E-2</v>
      </c>
      <c r="AE3" s="3">
        <v>2.7827199999999999</v>
      </c>
    </row>
    <row r="4" spans="1:40" x14ac:dyDescent="0.2">
      <c r="A4" s="1">
        <v>3</v>
      </c>
      <c r="B4" s="1">
        <v>1.909891E-2</v>
      </c>
      <c r="C4" s="3">
        <v>3.6753770000000001</v>
      </c>
      <c r="K4" t="s">
        <v>5</v>
      </c>
      <c r="L4">
        <f>CORREL(C2:C13, B2:B13)</f>
        <v>-0.18051127742419928</v>
      </c>
      <c r="O4" s="1">
        <v>3</v>
      </c>
      <c r="P4" s="1">
        <v>1.909891E-2</v>
      </c>
      <c r="Q4" s="3">
        <v>3.6753770000000001</v>
      </c>
      <c r="Y4" t="s">
        <v>5</v>
      </c>
      <c r="Z4">
        <f>CORREL(Q2:Q13, P2:P13)</f>
        <v>-0.41118097159705219</v>
      </c>
      <c r="AC4" s="1">
        <v>3</v>
      </c>
      <c r="AD4" s="1"/>
      <c r="AE4" s="3"/>
      <c r="AM4" t="s">
        <v>5</v>
      </c>
      <c r="AN4">
        <f>CORREL(AE2:AE13, AD2:AD13)</f>
        <v>9.7907081067337642E-2</v>
      </c>
    </row>
    <row r="5" spans="1:40" x14ac:dyDescent="0.2">
      <c r="A5" s="1">
        <v>4</v>
      </c>
      <c r="B5" s="1">
        <v>3.064716E-2</v>
      </c>
      <c r="C5" s="3">
        <v>3.6038389999999998</v>
      </c>
      <c r="O5" s="1">
        <v>4</v>
      </c>
      <c r="P5" s="1">
        <v>3.064716E-2</v>
      </c>
      <c r="Q5" s="3">
        <v>3.6038389999999998</v>
      </c>
      <c r="AC5" s="1">
        <v>4</v>
      </c>
      <c r="AD5" s="1"/>
      <c r="AE5" s="3"/>
    </row>
    <row r="6" spans="1:40" x14ac:dyDescent="0.2">
      <c r="A6" s="1">
        <v>5</v>
      </c>
      <c r="B6" s="1">
        <v>-1.3616899999999999E-2</v>
      </c>
      <c r="C6" s="3">
        <v>4.2643740000000001</v>
      </c>
      <c r="O6" s="1">
        <v>5</v>
      </c>
      <c r="P6" s="1"/>
      <c r="Q6" s="3"/>
      <c r="AC6" s="1">
        <v>5</v>
      </c>
      <c r="AD6" s="1">
        <v>-1.3616899999999999E-2</v>
      </c>
      <c r="AE6" s="3">
        <v>4.2643740000000001</v>
      </c>
    </row>
    <row r="7" spans="1:40" x14ac:dyDescent="0.2">
      <c r="A7" s="1">
        <v>6</v>
      </c>
      <c r="B7" s="1">
        <v>8.6388100000000002E-3</v>
      </c>
      <c r="C7" s="3">
        <v>2.6500029999999999</v>
      </c>
      <c r="O7" s="1">
        <v>6</v>
      </c>
      <c r="P7" s="1"/>
      <c r="Q7" s="3"/>
      <c r="AC7" s="1">
        <v>6</v>
      </c>
      <c r="AD7" s="1">
        <v>8.6388100000000002E-3</v>
      </c>
      <c r="AE7" s="3">
        <v>2.6500029999999999</v>
      </c>
    </row>
    <row r="8" spans="1:40" x14ac:dyDescent="0.2">
      <c r="A8" s="1">
        <v>7</v>
      </c>
      <c r="B8" s="1">
        <v>5.5768249999999998E-2</v>
      </c>
      <c r="C8" s="3">
        <v>2.7476090000000002</v>
      </c>
      <c r="O8" s="1">
        <v>7</v>
      </c>
      <c r="P8" s="1">
        <v>5.5768249999999998E-2</v>
      </c>
      <c r="Q8" s="3">
        <v>2.7476090000000002</v>
      </c>
      <c r="AC8" s="1">
        <v>7</v>
      </c>
      <c r="AD8" s="1"/>
      <c r="AE8" s="3"/>
    </row>
    <row r="9" spans="1:40" x14ac:dyDescent="0.2">
      <c r="A9" s="1">
        <v>8</v>
      </c>
      <c r="B9" s="1">
        <v>1.93241E-2</v>
      </c>
      <c r="C9" s="3">
        <v>2.3836249999999999</v>
      </c>
      <c r="O9" s="1">
        <v>8</v>
      </c>
      <c r="P9" s="1">
        <v>1.93241E-2</v>
      </c>
      <c r="Q9" s="3">
        <v>2.3836249999999999</v>
      </c>
      <c r="AC9" s="1">
        <v>8</v>
      </c>
      <c r="AD9" s="1"/>
      <c r="AE9" s="3"/>
    </row>
    <row r="10" spans="1:40" x14ac:dyDescent="0.2">
      <c r="A10" s="1">
        <v>9</v>
      </c>
      <c r="B10" s="1"/>
      <c r="O10" s="1">
        <v>9</v>
      </c>
      <c r="P10" s="1"/>
      <c r="AC10" s="1">
        <v>9</v>
      </c>
      <c r="AD10" s="1"/>
    </row>
    <row r="11" spans="1:40" x14ac:dyDescent="0.2">
      <c r="A11" s="1">
        <v>10</v>
      </c>
      <c r="B11" s="1">
        <v>-7.7793000000000003E-3</v>
      </c>
      <c r="C11" s="3">
        <v>2.2407919999999999</v>
      </c>
      <c r="O11" s="1">
        <v>10</v>
      </c>
      <c r="P11" s="1"/>
      <c r="Q11" s="3"/>
      <c r="AC11" s="1">
        <v>10</v>
      </c>
      <c r="AD11" s="1">
        <v>-7.7793000000000003E-3</v>
      </c>
      <c r="AE11" s="3">
        <v>2.2407919999999999</v>
      </c>
    </row>
    <row r="12" spans="1:40" x14ac:dyDescent="0.2">
      <c r="A12" s="1">
        <v>11</v>
      </c>
      <c r="B12" s="1">
        <v>3.3507639999999998E-2</v>
      </c>
      <c r="C12" s="3">
        <v>2.8338070000000002</v>
      </c>
      <c r="O12" s="1">
        <v>11</v>
      </c>
      <c r="P12" s="1">
        <v>3.3507639999999998E-2</v>
      </c>
      <c r="Q12" s="3">
        <v>2.8338070000000002</v>
      </c>
      <c r="AC12" s="1">
        <v>11</v>
      </c>
      <c r="AD12" s="1"/>
      <c r="AE12" s="3"/>
    </row>
    <row r="13" spans="1:40" x14ac:dyDescent="0.2">
      <c r="A13" s="1">
        <v>12</v>
      </c>
      <c r="B13" s="1">
        <v>5.5304150000000003E-2</v>
      </c>
      <c r="C13" s="3">
        <v>2.4946600000000001</v>
      </c>
      <c r="O13" s="1">
        <v>12</v>
      </c>
      <c r="P13" s="1">
        <v>5.5304150000000003E-2</v>
      </c>
      <c r="Q13" s="3">
        <v>2.4946600000000001</v>
      </c>
      <c r="AC13" s="1">
        <v>12</v>
      </c>
      <c r="AD13" s="1"/>
      <c r="AE13" s="3"/>
    </row>
    <row r="18" spans="1:38" x14ac:dyDescent="0.2">
      <c r="A18" s="1" t="s">
        <v>0</v>
      </c>
      <c r="B18" s="1" t="s">
        <v>1</v>
      </c>
      <c r="C18" s="2" t="s">
        <v>2</v>
      </c>
      <c r="E18" t="s">
        <v>6</v>
      </c>
      <c r="O18" s="1" t="s">
        <v>0</v>
      </c>
      <c r="P18" s="1" t="s">
        <v>1</v>
      </c>
      <c r="Q18" s="2" t="s">
        <v>2</v>
      </c>
      <c r="S18" t="s">
        <v>6</v>
      </c>
      <c r="AC18" s="1" t="s">
        <v>0</v>
      </c>
      <c r="AD18" s="1" t="s">
        <v>1</v>
      </c>
      <c r="AE18" s="2" t="s">
        <v>2</v>
      </c>
      <c r="AG18" t="s">
        <v>6</v>
      </c>
    </row>
    <row r="19" spans="1:38" ht="17" thickBot="1" x14ac:dyDescent="0.25">
      <c r="A19" s="1">
        <v>1</v>
      </c>
      <c r="B19" s="1">
        <v>-8.9864000000000003E-3</v>
      </c>
      <c r="C19" s="3">
        <v>4.1795689999999999</v>
      </c>
      <c r="O19" s="1">
        <v>3</v>
      </c>
      <c r="P19" s="1">
        <v>1.909891E-2</v>
      </c>
      <c r="Q19" s="3">
        <v>3.6753770000000001</v>
      </c>
      <c r="AC19" s="1">
        <v>1</v>
      </c>
      <c r="AD19" s="1">
        <v>-8.9864000000000003E-3</v>
      </c>
      <c r="AE19" s="3">
        <v>4.1795689999999999</v>
      </c>
    </row>
    <row r="20" spans="1:38" x14ac:dyDescent="0.2">
      <c r="A20" s="1">
        <v>2</v>
      </c>
      <c r="B20" s="1">
        <v>-7.0763999999999994E-2</v>
      </c>
      <c r="C20" s="3">
        <v>2.7827199999999999</v>
      </c>
      <c r="E20" s="6" t="s">
        <v>7</v>
      </c>
      <c r="F20" s="6"/>
      <c r="O20" s="1">
        <v>4</v>
      </c>
      <c r="P20" s="1">
        <v>3.064716E-2</v>
      </c>
      <c r="Q20" s="3">
        <v>3.6038389999999998</v>
      </c>
      <c r="S20" s="6" t="s">
        <v>7</v>
      </c>
      <c r="T20" s="6"/>
      <c r="AC20" s="1">
        <v>2</v>
      </c>
      <c r="AD20" s="1">
        <v>-7.0763999999999994E-2</v>
      </c>
      <c r="AE20" s="3">
        <v>2.7827199999999999</v>
      </c>
      <c r="AG20" s="6" t="s">
        <v>7</v>
      </c>
      <c r="AH20" s="6"/>
    </row>
    <row r="21" spans="1:38" x14ac:dyDescent="0.2">
      <c r="A21" s="1">
        <v>3</v>
      </c>
      <c r="B21" s="1">
        <v>1.909891E-2</v>
      </c>
      <c r="C21" s="3">
        <v>3.6753770000000001</v>
      </c>
      <c r="E21" t="s">
        <v>8</v>
      </c>
      <c r="F21">
        <v>0.18051127742419895</v>
      </c>
      <c r="O21" s="1">
        <v>7</v>
      </c>
      <c r="P21" s="1">
        <v>5.5768249999999998E-2</v>
      </c>
      <c r="Q21" s="3">
        <v>2.7476090000000002</v>
      </c>
      <c r="S21" t="s">
        <v>8</v>
      </c>
      <c r="T21">
        <v>0.41118097159705225</v>
      </c>
      <c r="AC21" s="1">
        <v>5</v>
      </c>
      <c r="AD21" s="1">
        <v>-1.3616899999999999E-2</v>
      </c>
      <c r="AE21" s="3">
        <v>4.2643740000000001</v>
      </c>
      <c r="AG21" t="s">
        <v>8</v>
      </c>
      <c r="AH21">
        <v>9.7907081067339585E-2</v>
      </c>
    </row>
    <row r="22" spans="1:38" x14ac:dyDescent="0.2">
      <c r="A22" s="1">
        <v>4</v>
      </c>
      <c r="B22" s="1">
        <v>3.064716E-2</v>
      </c>
      <c r="C22" s="3">
        <v>3.6038389999999998</v>
      </c>
      <c r="E22" t="s">
        <v>9</v>
      </c>
      <c r="F22">
        <v>3.2584321277316114E-2</v>
      </c>
      <c r="O22" s="1">
        <v>8</v>
      </c>
      <c r="P22" s="1">
        <v>1.93241E-2</v>
      </c>
      <c r="Q22" s="3">
        <v>2.3836249999999999</v>
      </c>
      <c r="S22" t="s">
        <v>9</v>
      </c>
      <c r="T22">
        <v>0.1690697914034959</v>
      </c>
      <c r="AC22" s="1">
        <v>6</v>
      </c>
      <c r="AD22" s="1">
        <v>8.6388100000000002E-3</v>
      </c>
      <c r="AE22" s="3">
        <v>2.6500029999999999</v>
      </c>
      <c r="AG22" t="s">
        <v>9</v>
      </c>
      <c r="AH22">
        <v>9.5857965231266051E-3</v>
      </c>
    </row>
    <row r="23" spans="1:38" x14ac:dyDescent="0.2">
      <c r="A23" s="1">
        <v>5</v>
      </c>
      <c r="B23" s="1">
        <v>-1.3616899999999999E-2</v>
      </c>
      <c r="C23" s="3">
        <v>4.2643740000000001</v>
      </c>
      <c r="E23" t="s">
        <v>10</v>
      </c>
      <c r="F23">
        <v>-7.4906309691870981E-2</v>
      </c>
      <c r="O23" s="1">
        <v>11</v>
      </c>
      <c r="P23" s="1">
        <v>3.3507639999999998E-2</v>
      </c>
      <c r="Q23" s="3">
        <v>2.8338070000000002</v>
      </c>
      <c r="S23" t="s">
        <v>10</v>
      </c>
      <c r="T23">
        <v>-3.8662760745630124E-2</v>
      </c>
      <c r="AC23" s="1">
        <v>10</v>
      </c>
      <c r="AD23" s="1">
        <v>-7.7793000000000003E-3</v>
      </c>
      <c r="AE23" s="3">
        <v>2.2407919999999999</v>
      </c>
      <c r="AG23" t="s">
        <v>10</v>
      </c>
      <c r="AH23">
        <v>-0.32055227130249786</v>
      </c>
    </row>
    <row r="24" spans="1:38" x14ac:dyDescent="0.2">
      <c r="A24" s="1">
        <v>6</v>
      </c>
      <c r="B24" s="1">
        <v>8.6388100000000002E-3</v>
      </c>
      <c r="C24" s="3">
        <v>2.6500029999999999</v>
      </c>
      <c r="E24" t="s">
        <v>11</v>
      </c>
      <c r="F24">
        <v>3.7444122349234193E-2</v>
      </c>
      <c r="O24" s="1">
        <v>12</v>
      </c>
      <c r="P24" s="1">
        <v>5.5304150000000003E-2</v>
      </c>
      <c r="Q24" s="3">
        <v>2.4946600000000001</v>
      </c>
      <c r="S24" t="s">
        <v>11</v>
      </c>
      <c r="T24">
        <v>1.6815083744536979E-2</v>
      </c>
      <c r="AG24" t="s">
        <v>11</v>
      </c>
      <c r="AH24">
        <v>3.4937494298016791E-2</v>
      </c>
    </row>
    <row r="25" spans="1:38" ht="17" thickBot="1" x14ac:dyDescent="0.25">
      <c r="A25" s="1">
        <v>7</v>
      </c>
      <c r="B25" s="1">
        <v>5.5768249999999998E-2</v>
      </c>
      <c r="C25" s="3">
        <v>2.7476090000000002</v>
      </c>
      <c r="E25" s="4" t="s">
        <v>12</v>
      </c>
      <c r="F25" s="4">
        <v>11</v>
      </c>
      <c r="S25" s="4" t="s">
        <v>12</v>
      </c>
      <c r="T25" s="4">
        <v>6</v>
      </c>
      <c r="AC25" s="1"/>
      <c r="AD25" s="1"/>
      <c r="AE25" s="3"/>
      <c r="AG25" s="4" t="s">
        <v>12</v>
      </c>
      <c r="AH25" s="4">
        <v>5</v>
      </c>
    </row>
    <row r="26" spans="1:38" x14ac:dyDescent="0.2">
      <c r="A26" s="1">
        <v>8</v>
      </c>
      <c r="B26" s="1">
        <v>1.93241E-2</v>
      </c>
      <c r="C26" s="3">
        <v>2.3836249999999999</v>
      </c>
      <c r="AC26" s="1"/>
      <c r="AD26" s="1"/>
      <c r="AE26" s="3"/>
    </row>
    <row r="27" spans="1:38" ht="17" thickBot="1" x14ac:dyDescent="0.25">
      <c r="A27" s="1">
        <v>10</v>
      </c>
      <c r="B27" s="1">
        <v>-7.7793000000000003E-3</v>
      </c>
      <c r="C27" s="3">
        <v>2.2407919999999999</v>
      </c>
      <c r="E27" t="s">
        <v>13</v>
      </c>
      <c r="O27" s="1"/>
      <c r="P27" s="1"/>
      <c r="S27" t="s">
        <v>13</v>
      </c>
      <c r="AC27" s="1"/>
      <c r="AD27" s="1"/>
      <c r="AG27" t="s">
        <v>13</v>
      </c>
    </row>
    <row r="28" spans="1:38" x14ac:dyDescent="0.2">
      <c r="A28" s="1">
        <v>11</v>
      </c>
      <c r="B28" s="1">
        <v>3.3507639999999998E-2</v>
      </c>
      <c r="C28" s="3">
        <v>2.8338070000000002</v>
      </c>
      <c r="E28" s="5"/>
      <c r="F28" s="5" t="s">
        <v>18</v>
      </c>
      <c r="G28" s="5" t="s">
        <v>19</v>
      </c>
      <c r="H28" s="5" t="s">
        <v>20</v>
      </c>
      <c r="I28" s="5" t="s">
        <v>21</v>
      </c>
      <c r="J28" s="5" t="s">
        <v>22</v>
      </c>
      <c r="O28" s="1"/>
      <c r="P28" s="1"/>
      <c r="Q28" s="3"/>
      <c r="S28" s="5"/>
      <c r="T28" s="5" t="s">
        <v>18</v>
      </c>
      <c r="U28" s="5" t="s">
        <v>19</v>
      </c>
      <c r="V28" s="5" t="s">
        <v>20</v>
      </c>
      <c r="W28" s="5" t="s">
        <v>21</v>
      </c>
      <c r="X28" s="5" t="s">
        <v>22</v>
      </c>
      <c r="AG28" s="5"/>
      <c r="AH28" s="5" t="s">
        <v>18</v>
      </c>
      <c r="AI28" s="5" t="s">
        <v>19</v>
      </c>
      <c r="AJ28" s="5" t="s">
        <v>20</v>
      </c>
      <c r="AK28" s="5" t="s">
        <v>21</v>
      </c>
      <c r="AL28" s="5" t="s">
        <v>22</v>
      </c>
    </row>
    <row r="29" spans="1:38" x14ac:dyDescent="0.2">
      <c r="A29" s="1">
        <v>12</v>
      </c>
      <c r="B29" s="1">
        <v>5.5304150000000003E-2</v>
      </c>
      <c r="C29" s="3">
        <v>2.4946600000000001</v>
      </c>
      <c r="E29" t="s">
        <v>14</v>
      </c>
      <c r="F29">
        <v>1</v>
      </c>
      <c r="G29">
        <v>4.2501609650404115E-4</v>
      </c>
      <c r="H29">
        <v>4.2501609650404115E-4</v>
      </c>
      <c r="I29">
        <v>0.30313638485066319</v>
      </c>
      <c r="J29" s="7">
        <v>0.59532253676388669</v>
      </c>
      <c r="S29" t="s">
        <v>14</v>
      </c>
      <c r="T29">
        <v>1</v>
      </c>
      <c r="U29">
        <v>2.3012273620111627E-4</v>
      </c>
      <c r="V29">
        <v>2.3012273620111627E-4</v>
      </c>
      <c r="W29">
        <v>0.81388203078603161</v>
      </c>
      <c r="X29" s="7">
        <v>0.41798768315292201</v>
      </c>
      <c r="AC29" s="1"/>
      <c r="AD29" s="1"/>
      <c r="AE29" s="3"/>
      <c r="AG29" t="s">
        <v>14</v>
      </c>
      <c r="AH29">
        <v>1</v>
      </c>
      <c r="AI29">
        <v>3.5441827667411809E-5</v>
      </c>
      <c r="AJ29">
        <v>3.5441827667411809E-5</v>
      </c>
      <c r="AK29">
        <v>2.9035720073910788E-2</v>
      </c>
      <c r="AL29" s="7">
        <v>0.8755402795946885</v>
      </c>
    </row>
    <row r="30" spans="1:38" x14ac:dyDescent="0.2">
      <c r="E30" t="s">
        <v>15</v>
      </c>
      <c r="F30">
        <v>9</v>
      </c>
      <c r="G30">
        <v>1.2618560686539777E-2</v>
      </c>
      <c r="H30">
        <v>1.4020622985044197E-3</v>
      </c>
      <c r="S30" t="s">
        <v>15</v>
      </c>
      <c r="T30">
        <v>4</v>
      </c>
      <c r="U30">
        <v>1.1309881653431672E-3</v>
      </c>
      <c r="V30">
        <v>2.827470413357918E-4</v>
      </c>
      <c r="AC30" s="1"/>
      <c r="AD30" s="1"/>
      <c r="AE30" s="3"/>
      <c r="AG30" t="s">
        <v>15</v>
      </c>
      <c r="AH30">
        <v>3</v>
      </c>
      <c r="AI30">
        <v>3.661885523471868E-3</v>
      </c>
      <c r="AJ30">
        <v>1.2206285078239559E-3</v>
      </c>
    </row>
    <row r="31" spans="1:38" ht="17" thickBot="1" x14ac:dyDescent="0.25">
      <c r="E31" s="4" t="s">
        <v>16</v>
      </c>
      <c r="F31" s="4">
        <v>10</v>
      </c>
      <c r="G31" s="4">
        <v>1.3043576783043818E-2</v>
      </c>
      <c r="H31" s="4"/>
      <c r="I31" s="4"/>
      <c r="J31" s="4"/>
      <c r="S31" s="4" t="s">
        <v>16</v>
      </c>
      <c r="T31" s="4">
        <v>5</v>
      </c>
      <c r="U31" s="4">
        <v>1.3611109015442835E-3</v>
      </c>
      <c r="V31" s="4"/>
      <c r="W31" s="4"/>
      <c r="X31" s="4"/>
      <c r="AG31" s="4" t="s">
        <v>16</v>
      </c>
      <c r="AH31" s="4">
        <v>4</v>
      </c>
      <c r="AI31" s="4">
        <v>3.6973273511392798E-3</v>
      </c>
      <c r="AJ31" s="4"/>
      <c r="AK31" s="4"/>
      <c r="AL31" s="4"/>
    </row>
    <row r="32" spans="1:38" ht="17" thickBot="1" x14ac:dyDescent="0.25"/>
    <row r="33" spans="1:41" x14ac:dyDescent="0.2">
      <c r="E33" s="5"/>
      <c r="F33" s="5" t="s">
        <v>23</v>
      </c>
      <c r="G33" s="5" t="s">
        <v>11</v>
      </c>
      <c r="H33" s="5" t="s">
        <v>24</v>
      </c>
      <c r="I33" s="5" t="s">
        <v>25</v>
      </c>
      <c r="J33" s="5" t="s">
        <v>26</v>
      </c>
      <c r="K33" s="5" t="s">
        <v>27</v>
      </c>
      <c r="L33" s="5" t="s">
        <v>28</v>
      </c>
      <c r="M33" s="5" t="s">
        <v>29</v>
      </c>
      <c r="S33" s="5"/>
      <c r="T33" s="5" t="s">
        <v>23</v>
      </c>
      <c r="U33" s="5" t="s">
        <v>11</v>
      </c>
      <c r="V33" s="5" t="s">
        <v>24</v>
      </c>
      <c r="W33" s="5" t="s">
        <v>25</v>
      </c>
      <c r="X33" s="5" t="s">
        <v>26</v>
      </c>
      <c r="Y33" s="5" t="s">
        <v>27</v>
      </c>
      <c r="Z33" s="5" t="s">
        <v>28</v>
      </c>
      <c r="AA33" s="5" t="s">
        <v>29</v>
      </c>
      <c r="AG33" s="5"/>
      <c r="AH33" s="5" t="s">
        <v>23</v>
      </c>
      <c r="AI33" s="5" t="s">
        <v>11</v>
      </c>
      <c r="AJ33" s="5" t="s">
        <v>24</v>
      </c>
      <c r="AK33" s="5" t="s">
        <v>25</v>
      </c>
      <c r="AL33" s="5" t="s">
        <v>26</v>
      </c>
      <c r="AM33" s="5" t="s">
        <v>27</v>
      </c>
      <c r="AN33" s="5" t="s">
        <v>28</v>
      </c>
      <c r="AO33" s="5" t="s">
        <v>29</v>
      </c>
    </row>
    <row r="34" spans="1:41" x14ac:dyDescent="0.2">
      <c r="E34" t="s">
        <v>17</v>
      </c>
      <c r="F34">
        <v>3.8793918055727683E-2</v>
      </c>
      <c r="G34">
        <v>5.1705421846215321E-2</v>
      </c>
      <c r="H34">
        <v>0.75028723624207849</v>
      </c>
      <c r="I34" s="7">
        <v>0.47223983617093646</v>
      </c>
      <c r="J34">
        <v>-7.8171872329191108E-2</v>
      </c>
      <c r="K34">
        <v>0.15575970844064649</v>
      </c>
      <c r="L34">
        <v>-7.8171872329191108E-2</v>
      </c>
      <c r="M34">
        <v>0.15575970844064649</v>
      </c>
      <c r="S34" t="s">
        <v>17</v>
      </c>
      <c r="T34">
        <v>7.1795953142441055E-2</v>
      </c>
      <c r="U34">
        <v>4.0695586756872862E-2</v>
      </c>
      <c r="V34">
        <v>1.7642196332337146</v>
      </c>
      <c r="W34" s="7">
        <v>0.15246420204512148</v>
      </c>
      <c r="X34">
        <v>-4.119310951183075E-2</v>
      </c>
      <c r="Y34">
        <v>0.18478501579671286</v>
      </c>
      <c r="Z34">
        <v>-4.119310951183075E-2</v>
      </c>
      <c r="AA34">
        <v>0.18478501579671286</v>
      </c>
      <c r="AG34" t="s">
        <v>17</v>
      </c>
      <c r="AH34">
        <v>-2.877927779056659E-2</v>
      </c>
      <c r="AI34">
        <v>6.2306589105641672E-2</v>
      </c>
      <c r="AJ34">
        <v>-0.461897821782074</v>
      </c>
      <c r="AK34" s="7">
        <v>0.67558953449932968</v>
      </c>
      <c r="AL34">
        <v>-0.22706665208464613</v>
      </c>
      <c r="AM34">
        <v>0.16950809650351295</v>
      </c>
      <c r="AN34">
        <v>-0.22706665208464613</v>
      </c>
      <c r="AO34">
        <v>0.16950809650351295</v>
      </c>
    </row>
    <row r="35" spans="1:41" ht="17" thickBot="1" x14ac:dyDescent="0.25">
      <c r="E35" s="4" t="s">
        <v>2</v>
      </c>
      <c r="F35" s="4">
        <v>-9.0260897279464958E-3</v>
      </c>
      <c r="G35" s="4">
        <v>1.6393837012326471E-2</v>
      </c>
      <c r="H35" s="4">
        <v>-0.55057822773032383</v>
      </c>
      <c r="I35" s="8">
        <v>0.59532253676388591</v>
      </c>
      <c r="J35" s="4">
        <v>-4.6111525551127151E-2</v>
      </c>
      <c r="K35" s="4">
        <v>2.805934609523416E-2</v>
      </c>
      <c r="L35" s="4">
        <v>-4.6111525551127151E-2</v>
      </c>
      <c r="M35" s="4">
        <v>2.805934609523416E-2</v>
      </c>
      <c r="S35" s="4" t="s">
        <v>2</v>
      </c>
      <c r="T35" s="4">
        <v>-1.2240065662105889E-2</v>
      </c>
      <c r="U35" s="4">
        <v>1.3567599573181179E-2</v>
      </c>
      <c r="V35" s="4">
        <v>-0.90215410589656542</v>
      </c>
      <c r="W35" s="8">
        <v>0.41798768315292228</v>
      </c>
      <c r="X35" s="4">
        <v>-4.9909761086348446E-2</v>
      </c>
      <c r="Y35" s="4">
        <v>2.5429629762136668E-2</v>
      </c>
      <c r="Z35" s="4">
        <v>-4.9909761086348446E-2</v>
      </c>
      <c r="AA35" s="4">
        <v>2.5429629762136668E-2</v>
      </c>
      <c r="AG35" s="4" t="s">
        <v>2</v>
      </c>
      <c r="AH35" s="4">
        <v>3.1883811301281471E-3</v>
      </c>
      <c r="AI35" s="4">
        <v>1.8711298614680773E-2</v>
      </c>
      <c r="AJ35" s="4">
        <v>0.17039870913216906</v>
      </c>
      <c r="AK35" s="8">
        <v>0.87554027959469105</v>
      </c>
      <c r="AL35" s="4">
        <v>-5.6359322013222864E-2</v>
      </c>
      <c r="AM35" s="4">
        <v>6.2736084273479154E-2</v>
      </c>
      <c r="AN35" s="4">
        <v>-5.6359322013222864E-2</v>
      </c>
      <c r="AO35" s="4">
        <v>6.2736084273479154E-2</v>
      </c>
    </row>
    <row r="39" spans="1:41" x14ac:dyDescent="0.2">
      <c r="A39" s="1" t="s">
        <v>0</v>
      </c>
      <c r="B39" s="1" t="s">
        <v>1</v>
      </c>
      <c r="C39" s="1" t="s">
        <v>30</v>
      </c>
      <c r="D39" s="2" t="s">
        <v>2</v>
      </c>
      <c r="E39" s="2" t="s">
        <v>31</v>
      </c>
      <c r="O39" s="1" t="s">
        <v>0</v>
      </c>
      <c r="P39" s="1" t="s">
        <v>1</v>
      </c>
      <c r="Q39" s="1" t="s">
        <v>30</v>
      </c>
      <c r="R39" s="2" t="s">
        <v>2</v>
      </c>
      <c r="S39" s="2" t="s">
        <v>31</v>
      </c>
      <c r="AC39" s="1" t="s">
        <v>0</v>
      </c>
      <c r="AD39" s="1" t="s">
        <v>1</v>
      </c>
      <c r="AE39" s="1" t="s">
        <v>30</v>
      </c>
      <c r="AF39" s="2" t="s">
        <v>2</v>
      </c>
      <c r="AG39" s="2" t="s">
        <v>31</v>
      </c>
    </row>
    <row r="40" spans="1:41" x14ac:dyDescent="0.2">
      <c r="A40" s="1">
        <v>1</v>
      </c>
      <c r="B40" s="1">
        <v>-8.9864000000000003E-3</v>
      </c>
      <c r="C40">
        <f>_xlfn.RANK.AVG(B40,B$40:B$50,1)</f>
        <v>3</v>
      </c>
      <c r="D40" s="3">
        <v>4.1795689999999999</v>
      </c>
      <c r="E40">
        <f>_xlfn.RANK.AVG(D40,D$40:D$50,1)</f>
        <v>10</v>
      </c>
      <c r="G40" t="s">
        <v>32</v>
      </c>
      <c r="H40">
        <f>CORREL(C40:C50,E40:E50)</f>
        <v>-0.30909090909090903</v>
      </c>
      <c r="O40" s="1">
        <v>3</v>
      </c>
      <c r="P40" s="1">
        <v>1.909891E-2</v>
      </c>
      <c r="Q40">
        <f>_xlfn.RANK.AVG(P40,P$40:P$45,1)</f>
        <v>1</v>
      </c>
      <c r="R40" s="3">
        <v>3.6753770000000001</v>
      </c>
      <c r="S40">
        <f>_xlfn.RANK.AVG(R40,R$40:R$45,1)</f>
        <v>6</v>
      </c>
      <c r="U40" t="s">
        <v>32</v>
      </c>
      <c r="V40">
        <f>CORREL(Q40:Q45,S40:S45)</f>
        <v>-0.37142857142857144</v>
      </c>
      <c r="AC40" s="1">
        <v>1</v>
      </c>
      <c r="AD40" s="1">
        <v>-8.9864000000000003E-3</v>
      </c>
      <c r="AE40">
        <f>_xlfn.RANK.AVG(AD40, AD$40:AD$44,1)</f>
        <v>3</v>
      </c>
      <c r="AF40" s="3">
        <v>4.1795689999999999</v>
      </c>
      <c r="AG40">
        <f>_xlfn.RANK.AVG(AF40, AF$40:AF$44,1)</f>
        <v>4</v>
      </c>
      <c r="AI40" t="s">
        <v>32</v>
      </c>
      <c r="AJ40">
        <f>CORREL(AE40:AE44,AG40:AG44)</f>
        <v>-0.59999999999999987</v>
      </c>
    </row>
    <row r="41" spans="1:41" x14ac:dyDescent="0.2">
      <c r="A41" s="1">
        <v>2</v>
      </c>
      <c r="B41" s="1">
        <v>-7.0763999999999994E-2</v>
      </c>
      <c r="C41">
        <f t="shared" ref="C41:C50" si="0">_xlfn.RANK.AVG(B41,B$40:B$50,1)</f>
        <v>1</v>
      </c>
      <c r="D41" s="3">
        <v>2.7827199999999999</v>
      </c>
      <c r="E41">
        <f t="shared" ref="E41:E50" si="1">_xlfn.RANK.AVG(D41,D$40:D$50,1)</f>
        <v>6</v>
      </c>
      <c r="O41" s="1">
        <v>4</v>
      </c>
      <c r="P41" s="1">
        <v>3.064716E-2</v>
      </c>
      <c r="Q41">
        <f t="shared" ref="Q41:Q45" si="2">_xlfn.RANK.AVG(P41,P$40:P$45,1)</f>
        <v>3</v>
      </c>
      <c r="R41" s="3">
        <v>3.6038389999999998</v>
      </c>
      <c r="S41">
        <f t="shared" ref="S41:S45" si="3">_xlfn.RANK.AVG(R41,R$40:R$45,1)</f>
        <v>5</v>
      </c>
      <c r="AC41" s="1">
        <v>2</v>
      </c>
      <c r="AD41" s="1">
        <v>-7.0763999999999994E-2</v>
      </c>
      <c r="AE41">
        <f t="shared" ref="AE41:AE44" si="4">_xlfn.RANK.AVG(AD41, AD$40:AD$44,1)</f>
        <v>1</v>
      </c>
      <c r="AF41" s="3">
        <v>2.7827199999999999</v>
      </c>
      <c r="AG41">
        <f t="shared" ref="AG41:AG44" si="5">_xlfn.RANK.AVG(AF41, AF$40:AF$44,1)</f>
        <v>3</v>
      </c>
    </row>
    <row r="42" spans="1:41" x14ac:dyDescent="0.2">
      <c r="A42" s="1">
        <v>3</v>
      </c>
      <c r="B42" s="1">
        <v>1.909891E-2</v>
      </c>
      <c r="C42">
        <f t="shared" si="0"/>
        <v>6</v>
      </c>
      <c r="D42" s="3">
        <v>3.6753770000000001</v>
      </c>
      <c r="E42">
        <f t="shared" si="1"/>
        <v>9</v>
      </c>
      <c r="O42" s="1">
        <v>7</v>
      </c>
      <c r="P42" s="1">
        <v>5.5768249999999998E-2</v>
      </c>
      <c r="Q42">
        <f t="shared" si="2"/>
        <v>6</v>
      </c>
      <c r="R42" s="3">
        <v>2.7476090000000002</v>
      </c>
      <c r="S42">
        <f t="shared" si="3"/>
        <v>3</v>
      </c>
      <c r="AC42" s="1">
        <v>5</v>
      </c>
      <c r="AD42" s="1">
        <v>-1.3616899999999999E-2</v>
      </c>
      <c r="AE42">
        <f t="shared" si="4"/>
        <v>2</v>
      </c>
      <c r="AF42" s="3">
        <v>4.2643740000000001</v>
      </c>
      <c r="AG42">
        <f t="shared" si="5"/>
        <v>5</v>
      </c>
    </row>
    <row r="43" spans="1:41" x14ac:dyDescent="0.2">
      <c r="A43" s="1">
        <v>4</v>
      </c>
      <c r="B43" s="1">
        <v>3.064716E-2</v>
      </c>
      <c r="C43">
        <f t="shared" si="0"/>
        <v>8</v>
      </c>
      <c r="D43" s="3">
        <v>3.6038389999999998</v>
      </c>
      <c r="E43">
        <f t="shared" si="1"/>
        <v>8</v>
      </c>
      <c r="O43" s="1">
        <v>8</v>
      </c>
      <c r="P43" s="1">
        <v>1.93241E-2</v>
      </c>
      <c r="Q43">
        <f t="shared" si="2"/>
        <v>2</v>
      </c>
      <c r="R43" s="3">
        <v>2.3836249999999999</v>
      </c>
      <c r="S43">
        <f t="shared" si="3"/>
        <v>1</v>
      </c>
      <c r="AC43" s="1">
        <v>6</v>
      </c>
      <c r="AD43" s="1">
        <v>8.6388100000000002E-3</v>
      </c>
      <c r="AE43">
        <f t="shared" si="4"/>
        <v>5</v>
      </c>
      <c r="AF43" s="3">
        <v>2.6500029999999999</v>
      </c>
      <c r="AG43">
        <f t="shared" si="5"/>
        <v>2</v>
      </c>
    </row>
    <row r="44" spans="1:41" x14ac:dyDescent="0.2">
      <c r="A44" s="1">
        <v>5</v>
      </c>
      <c r="B44" s="1">
        <v>-1.3616899999999999E-2</v>
      </c>
      <c r="C44">
        <f t="shared" si="0"/>
        <v>2</v>
      </c>
      <c r="D44" s="3">
        <v>4.2643740000000001</v>
      </c>
      <c r="E44">
        <f t="shared" si="1"/>
        <v>11</v>
      </c>
      <c r="O44" s="1">
        <v>11</v>
      </c>
      <c r="P44" s="1">
        <v>3.3507639999999998E-2</v>
      </c>
      <c r="Q44">
        <f t="shared" si="2"/>
        <v>4</v>
      </c>
      <c r="R44" s="3">
        <v>2.8338070000000002</v>
      </c>
      <c r="S44">
        <f t="shared" si="3"/>
        <v>4</v>
      </c>
      <c r="AC44" s="1">
        <v>10</v>
      </c>
      <c r="AD44" s="1">
        <v>-7.7793000000000003E-3</v>
      </c>
      <c r="AE44">
        <f t="shared" si="4"/>
        <v>4</v>
      </c>
      <c r="AF44" s="3">
        <v>2.2407919999999999</v>
      </c>
      <c r="AG44">
        <f t="shared" si="5"/>
        <v>1</v>
      </c>
    </row>
    <row r="45" spans="1:41" x14ac:dyDescent="0.2">
      <c r="A45" s="1">
        <v>6</v>
      </c>
      <c r="B45" s="1">
        <v>8.6388100000000002E-3</v>
      </c>
      <c r="C45">
        <f t="shared" si="0"/>
        <v>5</v>
      </c>
      <c r="D45" s="3">
        <v>2.6500029999999999</v>
      </c>
      <c r="E45">
        <f t="shared" si="1"/>
        <v>4</v>
      </c>
      <c r="O45" s="1">
        <v>12</v>
      </c>
      <c r="P45" s="1">
        <v>5.5304150000000003E-2</v>
      </c>
      <c r="Q45">
        <f t="shared" si="2"/>
        <v>5</v>
      </c>
      <c r="R45" s="3">
        <v>2.4946600000000001</v>
      </c>
      <c r="S45">
        <f t="shared" si="3"/>
        <v>2</v>
      </c>
    </row>
    <row r="46" spans="1:41" x14ac:dyDescent="0.2">
      <c r="A46" s="1">
        <v>7</v>
      </c>
      <c r="B46" s="1">
        <v>5.5768249999999998E-2</v>
      </c>
      <c r="C46">
        <f t="shared" si="0"/>
        <v>11</v>
      </c>
      <c r="D46" s="3">
        <v>2.7476090000000002</v>
      </c>
      <c r="E46">
        <f t="shared" si="1"/>
        <v>5</v>
      </c>
    </row>
    <row r="47" spans="1:41" x14ac:dyDescent="0.2">
      <c r="A47" s="1">
        <v>8</v>
      </c>
      <c r="B47" s="1">
        <v>1.93241E-2</v>
      </c>
      <c r="C47">
        <f t="shared" si="0"/>
        <v>7</v>
      </c>
      <c r="D47" s="3">
        <v>2.3836249999999999</v>
      </c>
      <c r="E47">
        <f t="shared" si="1"/>
        <v>2</v>
      </c>
    </row>
    <row r="48" spans="1:41" x14ac:dyDescent="0.2">
      <c r="A48" s="1">
        <v>10</v>
      </c>
      <c r="B48" s="1">
        <v>-7.7793000000000003E-3</v>
      </c>
      <c r="C48">
        <f t="shared" si="0"/>
        <v>4</v>
      </c>
      <c r="D48" s="3">
        <v>2.2407919999999999</v>
      </c>
      <c r="E48">
        <f t="shared" si="1"/>
        <v>1</v>
      </c>
    </row>
    <row r="49" spans="1:5" x14ac:dyDescent="0.2">
      <c r="A49" s="1">
        <v>11</v>
      </c>
      <c r="B49" s="1">
        <v>3.3507639999999998E-2</v>
      </c>
      <c r="C49">
        <f t="shared" si="0"/>
        <v>9</v>
      </c>
      <c r="D49" s="3">
        <v>2.8338070000000002</v>
      </c>
      <c r="E49">
        <f t="shared" si="1"/>
        <v>7</v>
      </c>
    </row>
    <row r="50" spans="1:5" x14ac:dyDescent="0.2">
      <c r="A50" s="1">
        <v>12</v>
      </c>
      <c r="B50" s="1">
        <v>5.5304150000000003E-2</v>
      </c>
      <c r="C50">
        <f t="shared" si="0"/>
        <v>10</v>
      </c>
      <c r="D50" s="3">
        <v>2.4946600000000001</v>
      </c>
      <c r="E50">
        <f t="shared" si="1"/>
        <v>3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813F6-1A89-5A47-BF3A-0D8EC8413BA0}">
  <dimension ref="A1:E13"/>
  <sheetViews>
    <sheetView workbookViewId="0">
      <selection activeCell="C13" sqref="A1:C13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2" t="s">
        <v>2</v>
      </c>
    </row>
    <row r="2" spans="1:5" x14ac:dyDescent="0.2">
      <c r="A2" s="1">
        <v>1</v>
      </c>
      <c r="B2" s="1">
        <v>-8.9864000000000003E-3</v>
      </c>
      <c r="C2" s="3">
        <v>4.1795689999999999</v>
      </c>
    </row>
    <row r="3" spans="1:5" x14ac:dyDescent="0.2">
      <c r="A3" s="1">
        <v>2</v>
      </c>
      <c r="B3" s="1">
        <v>-7.0763999999999994E-2</v>
      </c>
      <c r="C3" s="3">
        <v>2.7827199999999999</v>
      </c>
    </row>
    <row r="4" spans="1:5" x14ac:dyDescent="0.2">
      <c r="A4" s="1">
        <v>3</v>
      </c>
      <c r="B4" s="1">
        <v>1.909891E-2</v>
      </c>
      <c r="C4" s="3">
        <v>3.6753770000000001</v>
      </c>
    </row>
    <row r="5" spans="1:5" x14ac:dyDescent="0.2">
      <c r="A5" s="1">
        <v>4</v>
      </c>
      <c r="B5" s="1">
        <v>3.064716E-2</v>
      </c>
      <c r="C5" s="3">
        <v>3.6038389999999998</v>
      </c>
    </row>
    <row r="6" spans="1:5" x14ac:dyDescent="0.2">
      <c r="A6" s="1">
        <v>5</v>
      </c>
      <c r="B6" s="1">
        <v>-1.3616899999999999E-2</v>
      </c>
      <c r="C6" s="3">
        <v>4.2643740000000001</v>
      </c>
    </row>
    <row r="7" spans="1:5" x14ac:dyDescent="0.2">
      <c r="A7" s="1">
        <v>6</v>
      </c>
      <c r="B7" s="1">
        <v>8.6388100000000002E-3</v>
      </c>
      <c r="C7" s="3">
        <v>2.6500029999999999</v>
      </c>
    </row>
    <row r="8" spans="1:5" x14ac:dyDescent="0.2">
      <c r="A8" s="1">
        <v>7</v>
      </c>
      <c r="B8" s="1">
        <v>5.5768249999999998E-2</v>
      </c>
      <c r="C8" s="3">
        <v>2.7476090000000002</v>
      </c>
    </row>
    <row r="9" spans="1:5" x14ac:dyDescent="0.2">
      <c r="A9" s="1">
        <v>8</v>
      </c>
      <c r="B9" s="1">
        <v>1.93241E-2</v>
      </c>
      <c r="C9" s="3">
        <v>2.3836249999999999</v>
      </c>
    </row>
    <row r="10" spans="1:5" x14ac:dyDescent="0.2">
      <c r="A10" s="1">
        <v>9</v>
      </c>
      <c r="B10" s="1">
        <v>-0.22066379999999999</v>
      </c>
      <c r="D10" t="s">
        <v>3</v>
      </c>
      <c r="E10" t="s">
        <v>4</v>
      </c>
    </row>
    <row r="11" spans="1:5" x14ac:dyDescent="0.2">
      <c r="A11" s="1">
        <v>10</v>
      </c>
      <c r="B11" s="1">
        <v>-7.7793000000000003E-3</v>
      </c>
      <c r="C11" s="3">
        <v>2.2407919999999999</v>
      </c>
    </row>
    <row r="12" spans="1:5" x14ac:dyDescent="0.2">
      <c r="A12" s="1">
        <v>11</v>
      </c>
      <c r="B12" s="1">
        <v>3.3507639999999998E-2</v>
      </c>
      <c r="C12" s="3">
        <v>2.8338070000000002</v>
      </c>
    </row>
    <row r="13" spans="1:5" x14ac:dyDescent="0.2">
      <c r="A13" s="1">
        <v>12</v>
      </c>
      <c r="B13" s="1">
        <v>5.5304150000000003E-2</v>
      </c>
      <c r="C13" s="3">
        <v>2.4946600000000001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2025-07-14T01:17:03Z</dcterms:created>
  <dcterms:modified xsi:type="dcterms:W3CDTF">2025-10-11T07:56:20Z</dcterms:modified>
</cp:coreProperties>
</file>